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SE3686_Configs\Hardware Configurations\"/>
    </mc:Choice>
  </mc:AlternateContent>
  <xr:revisionPtr revIDLastSave="0" documentId="13_ncr:1_{ABFDC735-D7B0-4196-AA55-34ABA922FBD6}" xr6:coauthVersionLast="47" xr6:coauthVersionMax="47" xr10:uidLastSave="{00000000-0000-0000-0000-000000000000}"/>
  <bookViews>
    <workbookView xWindow="38290" yWindow="-110" windowWidth="38620" windowHeight="21100" tabRatio="598" firstSheet="5" activeTab="8" xr2:uid="{00000000-000D-0000-FFFF-FFFF00000000}"/>
  </bookViews>
  <sheets>
    <sheet name="Version" sheetId="1" r:id="rId1"/>
    <sheet name="Synchronization" sheetId="2" r:id="rId2"/>
    <sheet name="Digitizer" sheetId="3" r:id="rId3"/>
    <sheet name="Switch" sheetId="4" r:id="rId4"/>
    <sheet name="Foundation Bus" sheetId="5" r:id="rId5"/>
    <sheet name="FBUS Message(s)" sheetId="6" r:id="rId6"/>
    <sheet name="SpaceWire" sheetId="7" r:id="rId7"/>
    <sheet name="DMM" sheetId="8" r:id="rId8"/>
    <sheet name="ARB" sheetId="15" r:id="rId9"/>
    <sheet name="DC Power Supply" sheetId="9" r:id="rId10"/>
    <sheet name="FPGA_SquibEmulation" sheetId="10" r:id="rId11"/>
    <sheet name="FPGA" sheetId="11" r:id="rId12"/>
    <sheet name="PXIe-7867R_01_Timing" sheetId="12" r:id="rId13"/>
    <sheet name="Scope" sheetId="13" r:id="rId14"/>
    <sheet name="Example" sheetId="14" state="hidden" r:id="rId15"/>
  </sheets>
  <definedNames>
    <definedName name="Address_01" localSheetId="14">Example!$B$3</definedName>
    <definedName name="Alias_01" localSheetId="8">ARB!$E$4</definedName>
    <definedName name="Alias_01" localSheetId="9">'DC Power Supply'!$E$4</definedName>
    <definedName name="Alias_01" localSheetId="2">Digitizer!$E$3</definedName>
    <definedName name="Alias_01" localSheetId="7">DMM!$E$3</definedName>
    <definedName name="Alias_01" localSheetId="14">Example!$C$3</definedName>
    <definedName name="Alias_01" localSheetId="4">'Foundation Bus'!$E$3</definedName>
    <definedName name="Alias_01" localSheetId="11">FPGA!$E$3</definedName>
    <definedName name="Alias_01" localSheetId="13">Scope!$E$3</definedName>
    <definedName name="Alias_01" localSheetId="6">SpaceWire!$E$4</definedName>
    <definedName name="Alias_01" localSheetId="3">Switch!$E$3</definedName>
    <definedName name="Alias_01" localSheetId="1">Synchronization!$E$3</definedName>
    <definedName name="Alias_02" localSheetId="8">ARB!$E$14</definedName>
    <definedName name="Alias_02" localSheetId="9">'DC Power Supply'!$E$16</definedName>
    <definedName name="Alias_02" localSheetId="2">Digitizer!$E$19</definedName>
    <definedName name="Alias_02" localSheetId="11">FPGA!$E$42</definedName>
    <definedName name="Alias_02" localSheetId="13">Scope!$E$19</definedName>
    <definedName name="Alias_02" localSheetId="6">SpaceWire!$E$17</definedName>
    <definedName name="Alias_02" localSheetId="3">Switch!$E$21</definedName>
    <definedName name="Alias_02" localSheetId="1">Synchronization!$E$46</definedName>
    <definedName name="Alias_03" localSheetId="8">ARB!$E$24</definedName>
    <definedName name="Alias_03" localSheetId="9">'DC Power Supply'!$E$28</definedName>
    <definedName name="Alias_03" localSheetId="2">Digitizer!$E$35</definedName>
    <definedName name="Alias_03" localSheetId="11">FPGA!$E$50</definedName>
    <definedName name="Alias_03" localSheetId="13">Scope!$E$35</definedName>
    <definedName name="Alias_04" localSheetId="9">'DC Power Supply'!$E$40</definedName>
    <definedName name="Alias_04" localSheetId="2">Digitizer!$E$51</definedName>
    <definedName name="Alias_04" localSheetId="13">Scope!$E$51</definedName>
    <definedName name="Alias_05" localSheetId="9">'DC Power Supply'!$E$52</definedName>
    <definedName name="Alias_05" localSheetId="2">Digitizer!$E$67</definedName>
    <definedName name="Alias_05" localSheetId="13">Scope!$E$63</definedName>
    <definedName name="Alias_06" localSheetId="9">'DC Power Supply'!$E$64</definedName>
    <definedName name="Alias_06" localSheetId="2">Digitizer!$E$83</definedName>
    <definedName name="Alias_06" localSheetId="13">Scope!$E$73</definedName>
    <definedName name="Alias_07" localSheetId="9">'DC Power Supply'!$E$73</definedName>
    <definedName name="Alias_07" localSheetId="2">Digitizer!$E$99</definedName>
    <definedName name="Alias_07" localSheetId="13">Scope!$E$85</definedName>
    <definedName name="Alias_08" localSheetId="9">'DC Power Supply'!$E$82</definedName>
    <definedName name="Alias_08" localSheetId="2">Digitizer!$E$115</definedName>
    <definedName name="Alias_09" localSheetId="9">'DC Power Supply'!$E$91</definedName>
    <definedName name="Alias_09" localSheetId="2">Digitizer!$E$131</definedName>
    <definedName name="Alias_10" localSheetId="2">Digitizer!$E$147</definedName>
    <definedName name="Alias_11" localSheetId="2">Digitizer!$E$163</definedName>
    <definedName name="Alias_12" localSheetId="2">Digitizer!$E$179</definedName>
    <definedName name="Alias_13" localSheetId="2">Digitizer!$E$195</definedName>
    <definedName name="Alias_14" localSheetId="2">Digitizer!$E$211</definedName>
    <definedName name="Alias_15" localSheetId="2">Digitizer!$E$227</definedName>
    <definedName name="Alias_16" localSheetId="2">Digitizer!#REF!</definedName>
    <definedName name="Alias_17" localSheetId="2">Digitizer!#REF!</definedName>
    <definedName name="Alias_18" localSheetId="2">Digitizer!#REF!</definedName>
    <definedName name="Alias_19" localSheetId="2">Digitizer!#REF!</definedName>
    <definedName name="Alias_20" localSheetId="2">Digitizer!#REF!</definedName>
    <definedName name="Alias_21" localSheetId="2">Digitizer!#REF!</definedName>
    <definedName name="Alias_22" localSheetId="2">Digitizer!#REF!</definedName>
    <definedName name="Alias_23" localSheetId="2">Digitizer!#REF!</definedName>
    <definedName name="Alias_24" localSheetId="2">Digitizer!#REF!</definedName>
    <definedName name="Alias_25" localSheetId="2">Digitizer!#REF!</definedName>
    <definedName name="Alias_26" localSheetId="2">Digitizer!#REF!</definedName>
    <definedName name="Alias_27" localSheetId="2">Digitizer!#REF!</definedName>
    <definedName name="Alias_28" localSheetId="2">Digitizer!#REF!</definedName>
    <definedName name="Alias_29" localSheetId="2">Digitizer!#REF!</definedName>
    <definedName name="Alias_30" localSheetId="2">Digitizer!#REF!</definedName>
    <definedName name="Alias_31" localSheetId="2">Digitizer!#REF!</definedName>
    <definedName name="Alias_32" localSheetId="2">Digitizer!#REF!</definedName>
    <definedName name="ARB_Gain_01" comment="Set the ARB Gain" localSheetId="8">ARB!$Q$4</definedName>
    <definedName name="ARB_Offset" localSheetId="8">ARB!$R$4</definedName>
    <definedName name="AssetNumber_01" localSheetId="8">ARB!$J$4</definedName>
    <definedName name="AssetNumber_01" localSheetId="9">'DC Power Supply'!$J$4</definedName>
    <definedName name="AssetNumber_01" localSheetId="2">Digitizer!$J$3</definedName>
    <definedName name="AssetNumber_01" localSheetId="7">DMM!$J$3</definedName>
    <definedName name="AssetNumber_01" localSheetId="14">Example!$H$3</definedName>
    <definedName name="AssetNumber_01" localSheetId="4">'Foundation Bus'!$J$3</definedName>
    <definedName name="AssetNumber_01" localSheetId="11">FPGA!$J$3</definedName>
    <definedName name="AssetNumber_01" localSheetId="13">Scope!$J$3</definedName>
    <definedName name="AssetNumber_01" localSheetId="6">SpaceWire!$J$4</definedName>
    <definedName name="AssetNumber_01" localSheetId="3">Switch!$J$3</definedName>
    <definedName name="AssetNumber_01" localSheetId="1">Synchronization!$J$3</definedName>
    <definedName name="AssetNumber_02" localSheetId="8">ARB!$J$14</definedName>
    <definedName name="AssetNumber_02" localSheetId="9">'DC Power Supply'!$J$16</definedName>
    <definedName name="AssetNumber_02" localSheetId="2">Digitizer!$J$19</definedName>
    <definedName name="AssetNumber_02" localSheetId="11">FPGA!$J$42</definedName>
    <definedName name="AssetNumber_02" localSheetId="13">Scope!$J$19</definedName>
    <definedName name="AssetNumber_02" localSheetId="6">SpaceWire!$J$17</definedName>
    <definedName name="AssetNumber_02" localSheetId="3">Switch!$J$21</definedName>
    <definedName name="AssetNumber_02" localSheetId="1">Synchronization!$J$46</definedName>
    <definedName name="AssetNumber_03" localSheetId="8">ARB!$J$24</definedName>
    <definedName name="AssetNumber_03" localSheetId="9">'DC Power Supply'!$J$28</definedName>
    <definedName name="AssetNumber_03" localSheetId="2">Digitizer!$J$35</definedName>
    <definedName name="AssetNumber_03" localSheetId="11">FPGA!$J$50</definedName>
    <definedName name="AssetNumber_03" localSheetId="13">Scope!$J$35</definedName>
    <definedName name="AssetNumber_04" localSheetId="9">'DC Power Supply'!$J$40</definedName>
    <definedName name="AssetNumber_04" localSheetId="2">Digitizer!$J$51</definedName>
    <definedName name="AssetNumber_04" localSheetId="13">Scope!$J$51</definedName>
    <definedName name="AssetNumber_05" localSheetId="9">'DC Power Supply'!$J$52</definedName>
    <definedName name="AssetNumber_05" localSheetId="2">Digitizer!$J$67</definedName>
    <definedName name="AssetNumber_05" localSheetId="13">Scope!$J$63</definedName>
    <definedName name="AssetNumber_06" localSheetId="9">'DC Power Supply'!$J$64</definedName>
    <definedName name="AssetNumber_06" localSheetId="2">Digitizer!$J$83</definedName>
    <definedName name="AssetNumber_06" localSheetId="13">Scope!$J$73</definedName>
    <definedName name="AssetNumber_07" localSheetId="9">'DC Power Supply'!$J$73</definedName>
    <definedName name="AssetNumber_07" localSheetId="2">Digitizer!$J$99</definedName>
    <definedName name="AssetNumber_07" localSheetId="13">Scope!$J$85</definedName>
    <definedName name="AssetNumber_08" localSheetId="9">'DC Power Supply'!$J$82</definedName>
    <definedName name="AssetNumber_08" localSheetId="2">Digitizer!$J$115</definedName>
    <definedName name="AssetNumber_09" localSheetId="9">'DC Power Supply'!$J$91</definedName>
    <definedName name="AssetNumber_09" localSheetId="2">Digitizer!$J$131</definedName>
    <definedName name="AssetNumber_10" localSheetId="2">Digitizer!$J$147</definedName>
    <definedName name="AssetNumber_11" localSheetId="2">Digitizer!$J$163</definedName>
    <definedName name="AssetNumber_12" localSheetId="2">Digitizer!$J$179</definedName>
    <definedName name="AssetNumber_13" localSheetId="2">Digitizer!$J$195</definedName>
    <definedName name="AssetNumber_14" localSheetId="2">Digitizer!$J$211</definedName>
    <definedName name="AssetNumber_15" localSheetId="2">Digitizer!$J$227</definedName>
    <definedName name="AssetNumber_16" localSheetId="2">Digitizer!#REF!</definedName>
    <definedName name="AssetNumber_17" localSheetId="2">Digitizer!#REF!</definedName>
    <definedName name="AssetNumber_18" localSheetId="2">Digitizer!#REF!</definedName>
    <definedName name="AssetNumber_19" localSheetId="2">Digitizer!#REF!</definedName>
    <definedName name="AssetNumber_20" localSheetId="2">Digitizer!#REF!</definedName>
    <definedName name="AssetNumber_21" localSheetId="2">Digitizer!#REF!</definedName>
    <definedName name="AssetNumber_22" localSheetId="2">Digitizer!#REF!</definedName>
    <definedName name="AssetNumber_23" localSheetId="2">Digitizer!#REF!</definedName>
    <definedName name="AssetNumber_24" localSheetId="2">Digitizer!#REF!</definedName>
    <definedName name="AssetNumber_25" localSheetId="2">Digitizer!#REF!</definedName>
    <definedName name="AssetNumber_26" localSheetId="2">Digitizer!#REF!</definedName>
    <definedName name="AssetNumber_27" localSheetId="2">Digitizer!#REF!</definedName>
    <definedName name="AssetNumber_28" localSheetId="2">Digitizer!#REF!</definedName>
    <definedName name="AssetNumber_29" localSheetId="2">Digitizer!#REF!</definedName>
    <definedName name="AssetNumber_30" localSheetId="2">Digitizer!#REF!</definedName>
    <definedName name="AssetNumber_31" localSheetId="2">Digitizer!#REF!</definedName>
    <definedName name="AssetNumber_32" localSheetId="2">Digitizer!#REF!</definedName>
    <definedName name="BitfilePath_01" localSheetId="11">FPGA!$L$3</definedName>
    <definedName name="BitfilePath_02" localSheetId="11">FPGA!$L$42</definedName>
    <definedName name="BitfilePath_03" localSheetId="11">FPGA!$L$50</definedName>
    <definedName name="Calibration_01" localSheetId="8">ARB!$K$4</definedName>
    <definedName name="Calibration_01" localSheetId="9">'DC Power Supply'!$K$4</definedName>
    <definedName name="Calibration_01" localSheetId="2">Digitizer!$K$3</definedName>
    <definedName name="Calibration_01" localSheetId="7">DMM!$K$3</definedName>
    <definedName name="Calibration_01" localSheetId="14">Example!$I$3</definedName>
    <definedName name="Calibration_01" localSheetId="4">'Foundation Bus'!$K$3</definedName>
    <definedName name="Calibration_01" localSheetId="11">FPGA!$K$3</definedName>
    <definedName name="Calibration_01" localSheetId="13">Scope!$K$3</definedName>
    <definedName name="Calibration_01" localSheetId="6">SpaceWire!$K$4</definedName>
    <definedName name="Calibration_01" localSheetId="3">Switch!$K$3</definedName>
    <definedName name="Calibration_01" localSheetId="1">Synchronization!$K$3</definedName>
    <definedName name="Calibration_02" localSheetId="8">ARB!$K$14</definedName>
    <definedName name="Calibration_02" localSheetId="9">'DC Power Supply'!$K$16</definedName>
    <definedName name="Calibration_02" localSheetId="2">Digitizer!$K$19</definedName>
    <definedName name="Calibration_02" localSheetId="11">FPGA!$K$42</definedName>
    <definedName name="Calibration_02" localSheetId="13">Scope!$K$19</definedName>
    <definedName name="Calibration_02" localSheetId="6">SpaceWire!$K$17</definedName>
    <definedName name="Calibration_02" localSheetId="3">Switch!$K$21</definedName>
    <definedName name="Calibration_02" localSheetId="1">Synchronization!$K$46</definedName>
    <definedName name="Calibration_03" localSheetId="8">ARB!$K$24</definedName>
    <definedName name="Calibration_03" localSheetId="9">'DC Power Supply'!$K$28</definedName>
    <definedName name="Calibration_03" localSheetId="2">Digitizer!$K$35</definedName>
    <definedName name="Calibration_03" localSheetId="11">FPGA!$K$50</definedName>
    <definedName name="Calibration_03" localSheetId="13">Scope!$K$35</definedName>
    <definedName name="Calibration_04" localSheetId="9">'DC Power Supply'!$K$40</definedName>
    <definedName name="Calibration_04" localSheetId="2">Digitizer!$K$51</definedName>
    <definedName name="Calibration_04" localSheetId="13">Scope!$K$51</definedName>
    <definedName name="Calibration_05" localSheetId="9">'DC Power Supply'!$K$52</definedName>
    <definedName name="Calibration_05" localSheetId="2">Digitizer!$K$67</definedName>
    <definedName name="Calibration_05" localSheetId="13">Scope!$K$63</definedName>
    <definedName name="Calibration_06" localSheetId="9">'DC Power Supply'!$K$64</definedName>
    <definedName name="Calibration_06" localSheetId="2">Digitizer!$K$83</definedName>
    <definedName name="Calibration_06" localSheetId="13">Scope!$K$73</definedName>
    <definedName name="Calibration_07" localSheetId="9">'DC Power Supply'!$K$73</definedName>
    <definedName name="Calibration_07" localSheetId="2">Digitizer!$K$99</definedName>
    <definedName name="Calibration_07" localSheetId="13">Scope!$K$85</definedName>
    <definedName name="Calibration_08" localSheetId="9">'DC Power Supply'!$K$82</definedName>
    <definedName name="Calibration_08" localSheetId="2">Digitizer!$K$115</definedName>
    <definedName name="Calibration_09" localSheetId="9">'DC Power Supply'!$K$91</definedName>
    <definedName name="Calibration_09" localSheetId="2">Digitizer!$K$131</definedName>
    <definedName name="Calibration_10" localSheetId="2">Digitizer!$K$147</definedName>
    <definedName name="Calibration_11" localSheetId="2">Digitizer!$K$163</definedName>
    <definedName name="Calibration_12" localSheetId="2">Digitizer!$K$179</definedName>
    <definedName name="Calibration_13" localSheetId="2">Digitizer!$K$195</definedName>
    <definedName name="Calibration_14" localSheetId="2">Digitizer!$K$211</definedName>
    <definedName name="Calibration_15" localSheetId="2">Digitizer!$K$227</definedName>
    <definedName name="Calibration_16" localSheetId="2">Digitizer!#REF!</definedName>
    <definedName name="Calibration_17" localSheetId="2">Digitizer!#REF!</definedName>
    <definedName name="Calibration_18" localSheetId="2">Digitizer!#REF!</definedName>
    <definedName name="Calibration_19" localSheetId="2">Digitizer!#REF!</definedName>
    <definedName name="Calibration_20" localSheetId="2">Digitizer!#REF!</definedName>
    <definedName name="Calibration_21" localSheetId="2">Digitizer!#REF!</definedName>
    <definedName name="Calibration_22" localSheetId="2">Digitizer!#REF!</definedName>
    <definedName name="Calibration_23" localSheetId="2">Digitizer!#REF!</definedName>
    <definedName name="Calibration_24" localSheetId="2">Digitizer!#REF!</definedName>
    <definedName name="Calibration_25" localSheetId="2">Digitizer!#REF!</definedName>
    <definedName name="Calibration_26" localSheetId="2">Digitizer!#REF!</definedName>
    <definedName name="Calibration_27" localSheetId="2">Digitizer!#REF!</definedName>
    <definedName name="Calibration_28" localSheetId="2">Digitizer!#REF!</definedName>
    <definedName name="Calibration_29" localSheetId="2">Digitizer!#REF!</definedName>
    <definedName name="Calibration_30" localSheetId="2">Digitizer!#REF!</definedName>
    <definedName name="Calibration_31" localSheetId="2">Digitizer!#REF!</definedName>
    <definedName name="Calibration_32" localSheetId="2">Digitizer!#REF!</definedName>
    <definedName name="Channel_ActiveLow_01" localSheetId="3">Switch!$F$6</definedName>
    <definedName name="Channel_ActiveLow_02" localSheetId="3">Switch!$F$24</definedName>
    <definedName name="Channel_Address_01" localSheetId="8">ARB!$A$7</definedName>
    <definedName name="Channel_Address_01" localSheetId="9">'DC Power Supply'!$A$7</definedName>
    <definedName name="Channel_Address_01" localSheetId="2">Digitizer!$A$6</definedName>
    <definedName name="Channel_Address_01" localSheetId="7">DMM!$A$6</definedName>
    <definedName name="Channel_Address_01" localSheetId="14">Example!$A$6</definedName>
    <definedName name="Channel_Address_01" localSheetId="4">'Foundation Bus'!$A$6</definedName>
    <definedName name="Channel_Address_01" localSheetId="11">FPGA!$A$6</definedName>
    <definedName name="Channel_Address_01" localSheetId="13">Scope!$A$6</definedName>
    <definedName name="Channel_Address_01" localSheetId="6">SpaceWire!$A$7</definedName>
    <definedName name="Channel_Address_01" localSheetId="3">Switch!$A$6</definedName>
    <definedName name="Channel_Address_01" localSheetId="1">Synchronization!$A$6</definedName>
    <definedName name="Channel_Address_02" localSheetId="8">ARB!$A$17</definedName>
    <definedName name="Channel_Address_02" localSheetId="9">'DC Power Supply'!$A$19</definedName>
    <definedName name="Channel_Address_02" localSheetId="2">Digitizer!$A$22</definedName>
    <definedName name="Channel_Address_02" localSheetId="11">FPGA!$A$45</definedName>
    <definedName name="Channel_Address_02" localSheetId="13">Scope!$A$22</definedName>
    <definedName name="Channel_Address_02" localSheetId="6">SpaceWire!$A$20</definedName>
    <definedName name="Channel_Address_02" localSheetId="3">Switch!$A$24</definedName>
    <definedName name="Channel_Address_02" localSheetId="1">Synchronization!$A$49</definedName>
    <definedName name="Channel_Address_03" localSheetId="8">ARB!$A$27</definedName>
    <definedName name="Channel_Address_03" localSheetId="9">'DC Power Supply'!$A$31</definedName>
    <definedName name="Channel_Address_03" localSheetId="2">Digitizer!$A$38</definedName>
    <definedName name="Channel_Address_03" localSheetId="11">FPGA!$A$53</definedName>
    <definedName name="Channel_Address_03" localSheetId="13">Scope!$A$38</definedName>
    <definedName name="Channel_Address_04" localSheetId="9">'DC Power Supply'!$A$43</definedName>
    <definedName name="Channel_Address_04" localSheetId="2">Digitizer!$A$54</definedName>
    <definedName name="Channel_Address_04" localSheetId="13">Scope!$A$54</definedName>
    <definedName name="Channel_Address_05" localSheetId="9">'DC Power Supply'!$A$55</definedName>
    <definedName name="Channel_Address_05" localSheetId="2">Digitizer!$A$70</definedName>
    <definedName name="Channel_Address_05" localSheetId="13">Scope!$A$66</definedName>
    <definedName name="Channel_Address_06" localSheetId="9">'DC Power Supply'!$A$67</definedName>
    <definedName name="Channel_Address_06" localSheetId="2">Digitizer!$A$86</definedName>
    <definedName name="Channel_Address_06" localSheetId="13">Scope!$A$76</definedName>
    <definedName name="Channel_Address_07" localSheetId="9">'DC Power Supply'!$A$76</definedName>
    <definedName name="Channel_Address_07" localSheetId="2">Digitizer!$A$102</definedName>
    <definedName name="Channel_Address_07" localSheetId="13">Scope!$A$88</definedName>
    <definedName name="Channel_Address_08" localSheetId="9">'DC Power Supply'!$A$85</definedName>
    <definedName name="Channel_Address_08" localSheetId="2">Digitizer!$A$118</definedName>
    <definedName name="Channel_Address_09" localSheetId="9">'DC Power Supply'!$A$94</definedName>
    <definedName name="Channel_Address_09" localSheetId="2">Digitizer!$A$134</definedName>
    <definedName name="Channel_Address_10" localSheetId="2">Digitizer!$A$150</definedName>
    <definedName name="Channel_Address_11" localSheetId="2">Digitizer!$A$166</definedName>
    <definedName name="Channel_Address_12" localSheetId="2">Digitizer!$A$182</definedName>
    <definedName name="Channel_Address_13" localSheetId="2">Digitizer!$A$198</definedName>
    <definedName name="Channel_Address_14" localSheetId="2">Digitizer!$A$214</definedName>
    <definedName name="Channel_Address_15" localSheetId="2">Digitizer!$A$230</definedName>
    <definedName name="Channel_Address_16" localSheetId="2">Digitizer!#REF!</definedName>
    <definedName name="Channel_Address_17" localSheetId="2">Digitizer!#REF!</definedName>
    <definedName name="Channel_Address_18" localSheetId="2">Digitizer!#REF!</definedName>
    <definedName name="Channel_Address_19" localSheetId="2">Digitizer!#REF!</definedName>
    <definedName name="Channel_Address_20" localSheetId="2">Digitizer!#REF!</definedName>
    <definedName name="Channel_Address_21" localSheetId="2">Digitizer!#REF!</definedName>
    <definedName name="Channel_Address_22" localSheetId="2">Digitizer!#REF!</definedName>
    <definedName name="Channel_Address_23" localSheetId="2">Digitizer!#REF!</definedName>
    <definedName name="Channel_Address_24" localSheetId="2">Digitizer!#REF!</definedName>
    <definedName name="Channel_Address_25" localSheetId="2">Digitizer!#REF!</definedName>
    <definedName name="Channel_Address_26" localSheetId="2">Digitizer!#REF!</definedName>
    <definedName name="Channel_Address_27" localSheetId="2">Digitizer!#REF!</definedName>
    <definedName name="Channel_Address_28" localSheetId="2">Digitizer!#REF!</definedName>
    <definedName name="Channel_Address_29" localSheetId="2">Digitizer!#REF!</definedName>
    <definedName name="Channel_Address_30" localSheetId="2">Digitizer!#REF!</definedName>
    <definedName name="Channel_Address_31" localSheetId="2">Digitizer!#REF!</definedName>
    <definedName name="Channel_Address_32" localSheetId="2">Digitizer!#REF!</definedName>
    <definedName name="Channel_Alias_01" localSheetId="8">ARB!$B$7</definedName>
    <definedName name="Channel_Alias_01" localSheetId="9">'DC Power Supply'!$B$7</definedName>
    <definedName name="Channel_Alias_01" localSheetId="2">Digitizer!$B$6</definedName>
    <definedName name="Channel_Alias_01" localSheetId="14">Example!$B$6</definedName>
    <definedName name="Channel_Alias_01" localSheetId="4">'Foundation Bus'!$B$6</definedName>
    <definedName name="Channel_Alias_01" localSheetId="11">FPGA!$B$6</definedName>
    <definedName name="Channel_Alias_01" localSheetId="13">Scope!$B$6</definedName>
    <definedName name="Channel_Alias_01" localSheetId="6">SpaceWire!$B$7</definedName>
    <definedName name="Channel_Alias_01" localSheetId="3">Switch!$B$6</definedName>
    <definedName name="Channel_Alias_01" localSheetId="1">Synchronization!$B$6</definedName>
    <definedName name="Channel_Alias_02" localSheetId="8">ARB!$B$17</definedName>
    <definedName name="Channel_Alias_02" localSheetId="9">'DC Power Supply'!$B$19</definedName>
    <definedName name="Channel_Alias_02" localSheetId="2">Digitizer!$B$22</definedName>
    <definedName name="Channel_Alias_02" localSheetId="11">FPGA!$B$45</definedName>
    <definedName name="Channel_Alias_02" localSheetId="13">Scope!$B$22</definedName>
    <definedName name="Channel_Alias_02" localSheetId="6">SpaceWire!$B$20</definedName>
    <definedName name="Channel_Alias_02" localSheetId="3">Switch!$B$24</definedName>
    <definedName name="Channel_Alias_02" localSheetId="1">Synchronization!$B$49</definedName>
    <definedName name="Channel_Alias_03" localSheetId="8">ARB!$B$27</definedName>
    <definedName name="Channel_Alias_03" localSheetId="9">'DC Power Supply'!$B$31</definedName>
    <definedName name="Channel_Alias_03" localSheetId="2">Digitizer!$B$38</definedName>
    <definedName name="Channel_Alias_03" localSheetId="11">FPGA!$B$53</definedName>
    <definedName name="Channel_Alias_03" localSheetId="13">Scope!$B$38</definedName>
    <definedName name="Channel_Alias_04" localSheetId="9">'DC Power Supply'!$B$43</definedName>
    <definedName name="Channel_Alias_04" localSheetId="2">Digitizer!$B$54</definedName>
    <definedName name="Channel_Alias_04" localSheetId="13">Scope!$B$54</definedName>
    <definedName name="Channel_Alias_05" localSheetId="9">'DC Power Supply'!$B$55</definedName>
    <definedName name="Channel_Alias_05" localSheetId="2">Digitizer!$B$70</definedName>
    <definedName name="Channel_Alias_05" localSheetId="13">Scope!$B$66</definedName>
    <definedName name="Channel_Alias_06" localSheetId="9">'DC Power Supply'!$B$67</definedName>
    <definedName name="Channel_Alias_06" localSheetId="2">Digitizer!$B$86</definedName>
    <definedName name="Channel_Alias_06" localSheetId="13">Scope!$B$76</definedName>
    <definedName name="Channel_Alias_07" localSheetId="9">'DC Power Supply'!$B$76</definedName>
    <definedName name="Channel_Alias_07" localSheetId="2">Digitizer!$B$102</definedName>
    <definedName name="Channel_Alias_07" localSheetId="13">Scope!$B$88</definedName>
    <definedName name="Channel_Alias_08" localSheetId="9">'DC Power Supply'!$B$85</definedName>
    <definedName name="Channel_Alias_08" localSheetId="2">Digitizer!$B$118</definedName>
    <definedName name="Channel_Alias_09" localSheetId="9">'DC Power Supply'!$B$94</definedName>
    <definedName name="Channel_Alias_09" localSheetId="2">Digitizer!$B$134</definedName>
    <definedName name="Channel_Alias_10" localSheetId="2">Digitizer!$B$150</definedName>
    <definedName name="Channel_Alias_11" localSheetId="2">Digitizer!$B$166</definedName>
    <definedName name="Channel_Alias_12" localSheetId="2">Digitizer!$B$182</definedName>
    <definedName name="Channel_Alias_13" localSheetId="2">Digitizer!$B$198</definedName>
    <definedName name="Channel_Alias_14" localSheetId="2">Digitizer!$B$214</definedName>
    <definedName name="Channel_Alias_15" localSheetId="2">Digitizer!$B$230</definedName>
    <definedName name="Channel_Alias_16" localSheetId="2">Digitizer!#REF!</definedName>
    <definedName name="Channel_Alias_17" localSheetId="2">Digitizer!#REF!</definedName>
    <definedName name="Channel_Alias_18" localSheetId="2">Digitizer!#REF!</definedName>
    <definedName name="Channel_Alias_19" localSheetId="2">Digitizer!#REF!</definedName>
    <definedName name="Channel_Alias_20" localSheetId="2">Digitizer!#REF!</definedName>
    <definedName name="Channel_Alias_21" localSheetId="2">Digitizer!#REF!</definedName>
    <definedName name="Channel_Alias_22" localSheetId="2">Digitizer!#REF!</definedName>
    <definedName name="Channel_Alias_23" localSheetId="2">Digitizer!#REF!</definedName>
    <definedName name="Channel_Alias_24" localSheetId="2">Digitizer!#REF!</definedName>
    <definedName name="Channel_Alias_25" localSheetId="2">Digitizer!#REF!</definedName>
    <definedName name="Channel_Alias_26" localSheetId="2">Digitizer!#REF!</definedName>
    <definedName name="Channel_Alias_27" localSheetId="2">Digitizer!#REF!</definedName>
    <definedName name="Channel_Alias_28" localSheetId="2">Digitizer!#REF!</definedName>
    <definedName name="Channel_Alias_29" localSheetId="2">Digitizer!#REF!</definedName>
    <definedName name="Channel_Alias_30" localSheetId="2">Digitizer!#REF!</definedName>
    <definedName name="Channel_Alias_31" localSheetId="2">Digitizer!#REF!</definedName>
    <definedName name="Channel_Alias_32" localSheetId="2">Digitizer!#REF!</definedName>
    <definedName name="Channel_Amplitude_01" localSheetId="8">ARB!$E$7</definedName>
    <definedName name="Channel_ApertureBurstWindow_01" localSheetId="2">Digitizer!$K$6</definedName>
    <definedName name="Channel_ApertureBurstWindow_02" localSheetId="2">Digitizer!$K$22</definedName>
    <definedName name="Channel_ApertureBurstWindow_03" localSheetId="2">Digitizer!$K$38</definedName>
    <definedName name="Channel_ApertureBurstWindow_04" localSheetId="2">Digitizer!$K$54</definedName>
    <definedName name="Channel_ApertureBurstWindow_05" localSheetId="2">Digitizer!$K$70</definedName>
    <definedName name="Channel_ApertureBurstWindow_06" localSheetId="2">Digitizer!$K$86</definedName>
    <definedName name="Channel_ApertureBurstWindow_07" localSheetId="2">Digitizer!$K$102</definedName>
    <definedName name="Channel_ApertureBurstWindow_08" localSheetId="2">Digitizer!$K$118</definedName>
    <definedName name="Channel_ApertureBurstWindow_09" localSheetId="2">Digitizer!$K$134</definedName>
    <definedName name="Channel_ApertureBurstWindow_10" localSheetId="2">Digitizer!$K$150</definedName>
    <definedName name="Channel_ApertureBurstWindow_11" localSheetId="2">Digitizer!$K$166</definedName>
    <definedName name="Channel_ApertureBurstWindow_12" localSheetId="2">Digitizer!$K$182</definedName>
    <definedName name="Channel_ApertureBurstWindow_13" localSheetId="2">Digitizer!$K$198</definedName>
    <definedName name="Channel_ApertureBurstWindow_14" localSheetId="2">Digitizer!$K$214</definedName>
    <definedName name="Channel_ApertureBurstWindow_15" localSheetId="2">Digitizer!$K$230</definedName>
    <definedName name="Channel_ApertureBurstWindow_16" localSheetId="2">Digitizer!#REF!</definedName>
    <definedName name="Channel_ApertureBurstWindow_17" localSheetId="2">Digitizer!#REF!</definedName>
    <definedName name="Channel_ApertureBurstWindow_18" localSheetId="2">Digitizer!#REF!</definedName>
    <definedName name="Channel_ApertureBurstWindow_19" localSheetId="2">Digitizer!#REF!</definedName>
    <definedName name="Channel_ApertureBurstWindow_20" localSheetId="2">Digitizer!#REF!</definedName>
    <definedName name="Channel_ApertureBurstWindow_21" localSheetId="2">Digitizer!#REF!</definedName>
    <definedName name="Channel_ApertureBurstWindow_22" localSheetId="2">Digitizer!#REF!</definedName>
    <definedName name="Channel_ApertureBurstWindow_23" localSheetId="2">Digitizer!#REF!</definedName>
    <definedName name="Channel_ApertureBurstWindow_24" localSheetId="2">Digitizer!#REF!</definedName>
    <definedName name="Channel_ApertureBurstWindow_25" localSheetId="2">Digitizer!#REF!</definedName>
    <definedName name="Channel_ApertureBurstWindow_26" localSheetId="2">Digitizer!#REF!</definedName>
    <definedName name="Channel_ApertureBurstWindow_27" localSheetId="2">Digitizer!#REF!</definedName>
    <definedName name="Channel_ApertureBurstWindow_28" localSheetId="2">Digitizer!#REF!</definedName>
    <definedName name="Channel_ApertureBurstWindow_29" localSheetId="2">Digitizer!#REF!</definedName>
    <definedName name="Channel_ApertureBurstWindow_30" localSheetId="2">Digitizer!#REF!</definedName>
    <definedName name="Channel_ApertureBurstWindow_31" localSheetId="2">Digitizer!#REF!</definedName>
    <definedName name="Channel_ApertureBurstWindow_32" localSheetId="2">Digitizer!#REF!</definedName>
    <definedName name="Channel_ApertureMinSampleRate_01" localSheetId="2">Digitizer!$L$6</definedName>
    <definedName name="Channel_ApertureMinSampleRate_02" localSheetId="2">Digitizer!$L$22</definedName>
    <definedName name="Channel_ApertureMinSampleRate_03" localSheetId="2">Digitizer!$L$38</definedName>
    <definedName name="Channel_ApertureMinSampleRate_04" localSheetId="2">Digitizer!$L$54</definedName>
    <definedName name="Channel_ApertureMinSampleRate_05" localSheetId="2">Digitizer!$L$70</definedName>
    <definedName name="Channel_ApertureMinSampleRate_06" localSheetId="2">Digitizer!$L$86</definedName>
    <definedName name="Channel_ApertureMinSampleRate_07" localSheetId="2">Digitizer!$L$102</definedName>
    <definedName name="Channel_ApertureMinSampleRate_08" localSheetId="2">Digitizer!$L$118</definedName>
    <definedName name="Channel_ApertureMinSampleRate_09" localSheetId="2">Digitizer!$L$134</definedName>
    <definedName name="Channel_ApertureMinSampleRate_10" localSheetId="2">Digitizer!$L$150</definedName>
    <definedName name="Channel_ApertureMinSampleRate_11" localSheetId="2">Digitizer!$L$166</definedName>
    <definedName name="Channel_ApertureMinSampleRate_12" localSheetId="2">Digitizer!$L$182</definedName>
    <definedName name="Channel_ApertureMinSampleRate_13" localSheetId="2">Digitizer!$L$198</definedName>
    <definedName name="Channel_ApertureMinSampleRate_14" localSheetId="2">Digitizer!$L$214</definedName>
    <definedName name="Channel_ApertureMinSampleRate_15" localSheetId="2">Digitizer!$L$230</definedName>
    <definedName name="Channel_ApertureMinSampleRate_16" localSheetId="2">Digitizer!#REF!</definedName>
    <definedName name="Channel_ApertureMinSampleRate_17" localSheetId="2">Digitizer!#REF!</definedName>
    <definedName name="Channel_ApertureMinSampleRate_18" localSheetId="2">Digitizer!#REF!</definedName>
    <definedName name="Channel_ApertureMinSampleRate_19" localSheetId="2">Digitizer!#REF!</definedName>
    <definedName name="Channel_ApertureMinSampleRate_20" localSheetId="2">Digitizer!#REF!</definedName>
    <definedName name="Channel_ApertureMinSampleRate_21" localSheetId="2">Digitizer!#REF!</definedName>
    <definedName name="Channel_ApertureMinSampleRate_22" localSheetId="2">Digitizer!#REF!</definedName>
    <definedName name="Channel_ApertureMinSampleRate_23" localSheetId="2">Digitizer!#REF!</definedName>
    <definedName name="Channel_ApertureMinSampleRate_24" localSheetId="2">Digitizer!#REF!</definedName>
    <definedName name="Channel_ApertureMinSampleRate_25" localSheetId="2">Digitizer!#REF!</definedName>
    <definedName name="Channel_ApertureMinSampleRate_26" localSheetId="2">Digitizer!#REF!</definedName>
    <definedName name="Channel_ApertureMinSampleRate_27" localSheetId="2">Digitizer!#REF!</definedName>
    <definedName name="Channel_ApertureMinSampleRate_28" localSheetId="2">Digitizer!#REF!</definedName>
    <definedName name="Channel_ApertureMinSampleRate_29" localSheetId="2">Digitizer!#REF!</definedName>
    <definedName name="Channel_ApertureMinSampleRate_30" localSheetId="2">Digitizer!#REF!</definedName>
    <definedName name="Channel_ApertureMinSampleRate_31" localSheetId="2">Digitizer!#REF!</definedName>
    <definedName name="Channel_ApertureMinSampleRate_32" localSheetId="2">Digitizer!#REF!</definedName>
    <definedName name="Channel_ApertureTolerance_01" localSheetId="2">Digitizer!$J$6</definedName>
    <definedName name="Channel_ApertureTolerance_02" localSheetId="2">Digitizer!$J$22</definedName>
    <definedName name="Channel_ApertureTolerance_03" localSheetId="2">Digitizer!$J$38</definedName>
    <definedName name="Channel_ApertureTolerance_04" localSheetId="2">Digitizer!$J$54</definedName>
    <definedName name="Channel_ApertureTolerance_05" localSheetId="2">Digitizer!$J$70</definedName>
    <definedName name="Channel_ApertureTolerance_06" localSheetId="2">Digitizer!$J$86</definedName>
    <definedName name="Channel_ApertureTolerance_07" localSheetId="2">Digitizer!$J$102</definedName>
    <definedName name="Channel_ApertureTolerance_08" localSheetId="2">Digitizer!$J$118</definedName>
    <definedName name="Channel_ApertureTolerance_09" localSheetId="2">Digitizer!$J$134</definedName>
    <definedName name="Channel_ApertureTolerance_10" localSheetId="2">Digitizer!$J$150</definedName>
    <definedName name="Channel_ApertureTolerance_11" localSheetId="2">Digitizer!$J$166</definedName>
    <definedName name="Channel_ApertureTolerance_12" localSheetId="2">Digitizer!$J$182</definedName>
    <definedName name="Channel_ApertureTolerance_13" localSheetId="2">Digitizer!$J$198</definedName>
    <definedName name="Channel_ApertureTolerance_14" localSheetId="2">Digitizer!$J$214</definedName>
    <definedName name="Channel_ApertureTolerance_15" localSheetId="2">Digitizer!$J$230</definedName>
    <definedName name="Channel_ApertureTolerance_16" localSheetId="2">Digitizer!#REF!</definedName>
    <definedName name="Channel_ApertureTolerance_17" localSheetId="2">Digitizer!#REF!</definedName>
    <definedName name="Channel_ApertureTolerance_18" localSheetId="2">Digitizer!#REF!</definedName>
    <definedName name="Channel_ApertureTolerance_19" localSheetId="2">Digitizer!#REF!</definedName>
    <definedName name="Channel_ApertureTolerance_20" localSheetId="2">Digitizer!#REF!</definedName>
    <definedName name="Channel_ApertureTolerance_21" localSheetId="2">Digitizer!#REF!</definedName>
    <definedName name="Channel_ApertureTolerance_22" localSheetId="2">Digitizer!#REF!</definedName>
    <definedName name="Channel_ApertureTolerance_23" localSheetId="2">Digitizer!#REF!</definedName>
    <definedName name="Channel_ApertureTolerance_24" localSheetId="2">Digitizer!#REF!</definedName>
    <definedName name="Channel_ApertureTolerance_25" localSheetId="2">Digitizer!#REF!</definedName>
    <definedName name="Channel_ApertureTolerance_26" localSheetId="2">Digitizer!#REF!</definedName>
    <definedName name="Channel_ApertureTolerance_27" localSheetId="2">Digitizer!#REF!</definedName>
    <definedName name="Channel_ApertureTolerance_28" localSheetId="2">Digitizer!#REF!</definedName>
    <definedName name="Channel_ApertureTolerance_29" localSheetId="2">Digitizer!#REF!</definedName>
    <definedName name="Channel_ApertureTolerance_30" localSheetId="2">Digitizer!#REF!</definedName>
    <definedName name="Channel_ApertureTolerance_31" localSheetId="2">Digitizer!#REF!</definedName>
    <definedName name="Channel_ApertureTolerance_32" localSheetId="2">Digitizer!#REF!</definedName>
    <definedName name="Channel_ARB_Gain_02" localSheetId="8">ARB!$K$17</definedName>
    <definedName name="Channel_Attenuation_01" localSheetId="13">Scope!$J$6</definedName>
    <definedName name="Channel_Attenuation_02" localSheetId="13">Scope!$J$22</definedName>
    <definedName name="Channel_Attenuation_03" localSheetId="13">Scope!$J$38</definedName>
    <definedName name="Channel_Attenuation_04" localSheetId="13">Scope!$J$54</definedName>
    <definedName name="Channel_Attenuation_05" localSheetId="13">Scope!$J$66</definedName>
    <definedName name="Channel_Attenuation_06" localSheetId="13">Scope!$J$76</definedName>
    <definedName name="Channel_Attenuation_07" localSheetId="13">Scope!$J$88</definedName>
    <definedName name="Channel_AutoStart_01" localSheetId="6">SpaceWire!$E$7</definedName>
    <definedName name="Channel_AutoStart_02" localSheetId="6">SpaceWire!$E$20</definedName>
    <definedName name="Channel_AveragePoints_01" localSheetId="2">Digitizer!$M$6</definedName>
    <definedName name="Channel_AveragePoints_02" localSheetId="2">Digitizer!$M$22</definedName>
    <definedName name="Channel_AveragePoints_03" localSheetId="2">Digitizer!$M$38</definedName>
    <definedName name="Channel_AveragePoints_04" localSheetId="2">Digitizer!$M$54</definedName>
    <definedName name="Channel_AveragePoints_05" localSheetId="2">Digitizer!$M$70</definedName>
    <definedName name="Channel_AveragePoints_06" localSheetId="2">Digitizer!$M$86</definedName>
    <definedName name="Channel_AveragePoints_07" localSheetId="2">Digitizer!$M$102</definedName>
    <definedName name="Channel_AveragePoints_08" localSheetId="2">Digitizer!$M$118</definedName>
    <definedName name="Channel_AveragePoints_09" localSheetId="2">Digitizer!$M$134</definedName>
    <definedName name="Channel_AveragePoints_10" localSheetId="2">Digitizer!$M$150</definedName>
    <definedName name="Channel_AveragePoints_11" localSheetId="2">Digitizer!$M$166</definedName>
    <definedName name="Channel_AveragePoints_12" localSheetId="2">Digitizer!$M$182</definedName>
    <definedName name="Channel_AveragePoints_13" localSheetId="2">Digitizer!$M$198</definedName>
    <definedName name="Channel_AveragePoints_14" localSheetId="2">Digitizer!$M$214</definedName>
    <definedName name="Channel_AveragePoints_15" localSheetId="2">Digitizer!$M$230</definedName>
    <definedName name="Channel_AveragePoints_16" localSheetId="2">Digitizer!#REF!</definedName>
    <definedName name="Channel_AveragePoints_17" localSheetId="2">Digitizer!#REF!</definedName>
    <definedName name="Channel_AveragePoints_18" localSheetId="2">Digitizer!#REF!</definedName>
    <definedName name="Channel_AveragePoints_19" localSheetId="2">Digitizer!#REF!</definedName>
    <definedName name="Channel_AveragePoints_20" localSheetId="2">Digitizer!#REF!</definedName>
    <definedName name="Channel_AveragePoints_21" localSheetId="2">Digitizer!#REF!</definedName>
    <definedName name="Channel_AveragePoints_22" localSheetId="2">Digitizer!#REF!</definedName>
    <definedName name="Channel_AveragePoints_23" localSheetId="2">Digitizer!#REF!</definedName>
    <definedName name="Channel_AveragePoints_24" localSheetId="2">Digitizer!#REF!</definedName>
    <definedName name="Channel_AveragePoints_25" localSheetId="2">Digitizer!#REF!</definedName>
    <definedName name="Channel_AveragePoints_26" localSheetId="2">Digitizer!#REF!</definedName>
    <definedName name="Channel_AveragePoints_27" localSheetId="2">Digitizer!#REF!</definedName>
    <definedName name="Channel_AveragePoints_28" localSheetId="2">Digitizer!#REF!</definedName>
    <definedName name="Channel_AveragePoints_29" localSheetId="2">Digitizer!#REF!</definedName>
    <definedName name="Channel_AveragePoints_30" localSheetId="2">Digitizer!#REF!</definedName>
    <definedName name="Channel_AveragePoints_31" localSheetId="2">Digitizer!#REF!</definedName>
    <definedName name="Channel_AveragePoints_32" localSheetId="2">Digitizer!#REF!</definedName>
    <definedName name="Channel_Bus_01" localSheetId="4">'Foundation Bus'!$F$6</definedName>
    <definedName name="Channel_Channel_Output_01" comment="Output channel of the ARB" localSheetId="8">ARB!$F$7</definedName>
    <definedName name="Channel_Channel_Output_02" comment="Output channel of the ARB" localSheetId="8">ARB!$G$17</definedName>
    <definedName name="Channel_ComChannel_01" localSheetId="3">Switch!$E$6</definedName>
    <definedName name="Channel_ComChannel_02" localSheetId="3">Switch!$E$24</definedName>
    <definedName name="Channel_Coupling_01" localSheetId="13">Scope!$K$6</definedName>
    <definedName name="Channel_Coupling_02" localSheetId="13">Scope!$K$22</definedName>
    <definedName name="Channel_Coupling_03" localSheetId="13">Scope!$K$38</definedName>
    <definedName name="Channel_Coupling_04" localSheetId="13">Scope!$K$54</definedName>
    <definedName name="Channel_Coupling_05" localSheetId="13">Scope!$K$66</definedName>
    <definedName name="Channel_Coupling_06" localSheetId="13">Scope!$K$76</definedName>
    <definedName name="Channel_Coupling_07" localSheetId="13">Scope!$K$88</definedName>
    <definedName name="Channel_CurrentLimit_01" localSheetId="9">'DC Power Supply'!$M$7</definedName>
    <definedName name="Channel_CurrentLimit_02" localSheetId="9">'DC Power Supply'!$M$19</definedName>
    <definedName name="Channel_CurrentLimit_03" localSheetId="9">'DC Power Supply'!$M$31</definedName>
    <definedName name="Channel_CurrentLimit_04" localSheetId="9">'DC Power Supply'!$M$43</definedName>
    <definedName name="Channel_CurrentLimit_05" localSheetId="9">'DC Power Supply'!$M$55</definedName>
    <definedName name="Channel_CurrentLimit_06" localSheetId="9">'DC Power Supply'!$M$67</definedName>
    <definedName name="Channel_CurrentLimit_07" localSheetId="9">'DC Power Supply'!$M$76</definedName>
    <definedName name="Channel_CurrentLimit_08" localSheetId="9">'DC Power Supply'!$M$85</definedName>
    <definedName name="Channel_CurrentLimit_09" localSheetId="9">'DC Power Supply'!$M$94</definedName>
    <definedName name="Channel_CycleDuration_01" localSheetId="11">FPGA!$F$6</definedName>
    <definedName name="Channel_DataReductionMethod_01" localSheetId="2">Digitizer!$I$6</definedName>
    <definedName name="Channel_DataReductionMethod_02" localSheetId="2">Digitizer!$I$22</definedName>
    <definedName name="Channel_DataReductionMethod_03" localSheetId="2">Digitizer!$I$38</definedName>
    <definedName name="Channel_DataReductionMethod_04" localSheetId="2">Digitizer!$I$54</definedName>
    <definedName name="Channel_DataReductionMethod_05" localSheetId="2">Digitizer!$I$70</definedName>
    <definedName name="Channel_DataReductionMethod_06" localSheetId="2">Digitizer!$I$86</definedName>
    <definedName name="Channel_DataReductionMethod_07" localSheetId="2">Digitizer!$I$102</definedName>
    <definedName name="Channel_DataReductionMethod_08" localSheetId="2">Digitizer!$I$118</definedName>
    <definedName name="Channel_DataReductionMethod_09" localSheetId="2">Digitizer!$I$134</definedName>
    <definedName name="Channel_DataReductionMethod_10" localSheetId="2">Digitizer!$I$150</definedName>
    <definedName name="Channel_DataReductionMethod_11" localSheetId="2">Digitizer!$I$166</definedName>
    <definedName name="Channel_DataReductionMethod_12" localSheetId="2">Digitizer!$I$182</definedName>
    <definedName name="Channel_DataReductionMethod_13" localSheetId="2">Digitizer!$I$198</definedName>
    <definedName name="Channel_DataReductionMethod_14" localSheetId="2">Digitizer!$I$214</definedName>
    <definedName name="Channel_DataReductionMethod_15" localSheetId="2">Digitizer!$I$230</definedName>
    <definedName name="Channel_DataReductionMethod_16" localSheetId="2">Digitizer!#REF!</definedName>
    <definedName name="Channel_DataReductionMethod_17" localSheetId="2">Digitizer!#REF!</definedName>
    <definedName name="Channel_DataReductionMethod_18" localSheetId="2">Digitizer!#REF!</definedName>
    <definedName name="Channel_DataReductionMethod_19" localSheetId="2">Digitizer!#REF!</definedName>
    <definedName name="Channel_DataReductionMethod_20" localSheetId="2">Digitizer!#REF!</definedName>
    <definedName name="Channel_DataReductionMethod_21" localSheetId="2">Digitizer!#REF!</definedName>
    <definedName name="Channel_DataReductionMethod_22" localSheetId="2">Digitizer!#REF!</definedName>
    <definedName name="Channel_DataReductionMethod_23" localSheetId="2">Digitizer!#REF!</definedName>
    <definedName name="Channel_DataReductionMethod_24" localSheetId="2">Digitizer!#REF!</definedName>
    <definedName name="Channel_DataReductionMethod_25" localSheetId="2">Digitizer!#REF!</definedName>
    <definedName name="Channel_DataReductionMethod_26" localSheetId="2">Digitizer!#REF!</definedName>
    <definedName name="Channel_DataReductionMethod_27" localSheetId="2">Digitizer!#REF!</definedName>
    <definedName name="Channel_DataReductionMethod_28" localSheetId="2">Digitizer!#REF!</definedName>
    <definedName name="Channel_DataReductionMethod_29" localSheetId="2">Digitizer!#REF!</definedName>
    <definedName name="Channel_DataReductionMethod_30" localSheetId="2">Digitizer!#REF!</definedName>
    <definedName name="Channel_DataReductionMethod_31" localSheetId="2">Digitizer!#REF!</definedName>
    <definedName name="Channel_DataReductionMethod_32" localSheetId="2">Digitizer!#REF!</definedName>
    <definedName name="Channel_DecimationInterval_01" localSheetId="2">Digitizer!$N$6</definedName>
    <definedName name="Channel_DecimationInterval_02" localSheetId="2">Digitizer!$N$22</definedName>
    <definedName name="Channel_DecimationInterval_03" localSheetId="2">Digitizer!$N$38</definedName>
    <definedName name="Channel_DecimationInterval_04" localSheetId="2">Digitizer!$N$54</definedName>
    <definedName name="Channel_DecimationInterval_05" localSheetId="2">Digitizer!$N$70</definedName>
    <definedName name="Channel_DecimationInterval_06" localSheetId="2">Digitizer!$N$86</definedName>
    <definedName name="Channel_DecimationInterval_07" localSheetId="2">Digitizer!$N$102</definedName>
    <definedName name="Channel_DecimationInterval_08" localSheetId="2">Digitizer!$N$118</definedName>
    <definedName name="Channel_DecimationInterval_09" localSheetId="2">Digitizer!$N$134</definedName>
    <definedName name="Channel_DecimationInterval_10" localSheetId="2">Digitizer!$N$150</definedName>
    <definedName name="Channel_DecimationInterval_11" localSheetId="2">Digitizer!$N$166</definedName>
    <definedName name="Channel_DecimationInterval_12" localSheetId="2">Digitizer!$N$182</definedName>
    <definedName name="Channel_DecimationInterval_13" localSheetId="2">Digitizer!$N$198</definedName>
    <definedName name="Channel_DecimationInterval_14" localSheetId="2">Digitizer!$N$214</definedName>
    <definedName name="Channel_DecimationInterval_15" localSheetId="2">Digitizer!$N$230</definedName>
    <definedName name="Channel_DecimationInterval_16" localSheetId="2">Digitizer!#REF!</definedName>
    <definedName name="Channel_DecimationInterval_17" localSheetId="2">Digitizer!#REF!</definedName>
    <definedName name="Channel_DecimationInterval_18" localSheetId="2">Digitizer!#REF!</definedName>
    <definedName name="Channel_DecimationInterval_19" localSheetId="2">Digitizer!#REF!</definedName>
    <definedName name="Channel_DecimationInterval_20" localSheetId="2">Digitizer!#REF!</definedName>
    <definedName name="Channel_DecimationInterval_21" localSheetId="2">Digitizer!#REF!</definedName>
    <definedName name="Channel_DecimationInterval_22" localSheetId="2">Digitizer!#REF!</definedName>
    <definedName name="Channel_DecimationInterval_23" localSheetId="2">Digitizer!#REF!</definedName>
    <definedName name="Channel_DecimationInterval_24" localSheetId="2">Digitizer!#REF!</definedName>
    <definedName name="Channel_DecimationInterval_25" localSheetId="2">Digitizer!#REF!</definedName>
    <definedName name="Channel_DecimationInterval_26" localSheetId="2">Digitizer!#REF!</definedName>
    <definedName name="Channel_DecimationInterval_27" localSheetId="2">Digitizer!#REF!</definedName>
    <definedName name="Channel_DecimationInterval_28" localSheetId="2">Digitizer!#REF!</definedName>
    <definedName name="Channel_DecimationInterval_29" localSheetId="2">Digitizer!#REF!</definedName>
    <definedName name="Channel_DecimationInterval_30" localSheetId="2">Digitizer!#REF!</definedName>
    <definedName name="Channel_DecimationInterval_31" localSheetId="2">Digitizer!#REF!</definedName>
    <definedName name="Channel_DecimationInterval_32" localSheetId="2">Digitizer!#REF!</definedName>
    <definedName name="Channel_Description_01" localSheetId="8">ARB!$C$7</definedName>
    <definedName name="Channel_Description_01" localSheetId="9">'DC Power Supply'!$C$7</definedName>
    <definedName name="Channel_Description_01" localSheetId="2">Digitizer!$C$6</definedName>
    <definedName name="Channel_Description_01" localSheetId="14">Example!$C$6</definedName>
    <definedName name="Channel_Description_01" localSheetId="4">'Foundation Bus'!$C$6</definedName>
    <definedName name="Channel_Description_01" localSheetId="11">FPGA!$C$6</definedName>
    <definedName name="Channel_Description_01" localSheetId="13">Scope!$C$6</definedName>
    <definedName name="Channel_Description_01" localSheetId="6">SpaceWire!$C$7</definedName>
    <definedName name="Channel_Description_01" localSheetId="3">Switch!$C$6</definedName>
    <definedName name="Channel_Description_01" localSheetId="1">Synchronization!$C$6</definedName>
    <definedName name="Channel_Description_02" localSheetId="8">ARB!$C$17</definedName>
    <definedName name="Channel_Description_02" localSheetId="9">'DC Power Supply'!$C$19</definedName>
    <definedName name="Channel_Description_02" localSheetId="2">Digitizer!$C$22</definedName>
    <definedName name="Channel_Description_02" localSheetId="11">FPGA!$C$45</definedName>
    <definedName name="Channel_Description_02" localSheetId="13">Scope!$C$22</definedName>
    <definedName name="Channel_Description_02" localSheetId="6">SpaceWire!$C$20</definedName>
    <definedName name="Channel_Description_02" localSheetId="3">Switch!$C$24</definedName>
    <definedName name="Channel_Description_02" localSheetId="1">Synchronization!$C$49</definedName>
    <definedName name="Channel_Description_03" localSheetId="8">ARB!$C$27</definedName>
    <definedName name="Channel_Description_03" localSheetId="9">'DC Power Supply'!$C$31</definedName>
    <definedName name="Channel_Description_03" localSheetId="2">Digitizer!$C$38</definedName>
    <definedName name="Channel_Description_03" localSheetId="11">FPGA!$C$53</definedName>
    <definedName name="Channel_Description_03" localSheetId="13">Scope!$C$38</definedName>
    <definedName name="Channel_Description_04" localSheetId="9">'DC Power Supply'!$C$43</definedName>
    <definedName name="Channel_Description_04" localSheetId="2">Digitizer!$C$54</definedName>
    <definedName name="Channel_Description_04" localSheetId="13">Scope!$C$54</definedName>
    <definedName name="Channel_Description_05" localSheetId="9">'DC Power Supply'!$C$55</definedName>
    <definedName name="Channel_Description_05" localSheetId="2">Digitizer!$C$70</definedName>
    <definedName name="Channel_Description_05" localSheetId="13">Scope!$C$66</definedName>
    <definedName name="Channel_Description_06" localSheetId="9">'DC Power Supply'!$C$67</definedName>
    <definedName name="Channel_Description_06" localSheetId="2">Digitizer!$C$86</definedName>
    <definedName name="Channel_Description_06" localSheetId="13">Scope!$C$76</definedName>
    <definedName name="Channel_Description_07" localSheetId="9">'DC Power Supply'!$C$76</definedName>
    <definedName name="Channel_Description_07" localSheetId="2">Digitizer!$C$102</definedName>
    <definedName name="Channel_Description_07" localSheetId="13">Scope!$C$88</definedName>
    <definedName name="Channel_Description_08" localSheetId="9">'DC Power Supply'!$C$85</definedName>
    <definedName name="Channel_Description_08" localSheetId="2">Digitizer!$C$118</definedName>
    <definedName name="Channel_Description_09" localSheetId="9">'DC Power Supply'!$C$94</definedName>
    <definedName name="Channel_Description_09" localSheetId="2">Digitizer!$C$134</definedName>
    <definedName name="Channel_Description_10" localSheetId="2">Digitizer!$C$150</definedName>
    <definedName name="Channel_Description_11" localSheetId="2">Digitizer!$C$166</definedName>
    <definedName name="Channel_Description_12" localSheetId="2">Digitizer!$C$182</definedName>
    <definedName name="Channel_Description_13" localSheetId="2">Digitizer!$C$198</definedName>
    <definedName name="Channel_Description_14" localSheetId="2">Digitizer!$C$214</definedName>
    <definedName name="Channel_Description_15" localSheetId="2">Digitizer!$C$230</definedName>
    <definedName name="Channel_Description_16" localSheetId="2">Digitizer!#REF!</definedName>
    <definedName name="Channel_Description_17" localSheetId="2">Digitizer!#REF!</definedName>
    <definedName name="Channel_Description_18" localSheetId="2">Digitizer!#REF!</definedName>
    <definedName name="Channel_Description_19" localSheetId="2">Digitizer!#REF!</definedName>
    <definedName name="Channel_Description_20" localSheetId="2">Digitizer!#REF!</definedName>
    <definedName name="Channel_Description_21" localSheetId="2">Digitizer!#REF!</definedName>
    <definedName name="Channel_Description_22" localSheetId="2">Digitizer!#REF!</definedName>
    <definedName name="Channel_Description_23" localSheetId="2">Digitizer!#REF!</definedName>
    <definedName name="Channel_Description_24" localSheetId="2">Digitizer!#REF!</definedName>
    <definedName name="Channel_Description_25" localSheetId="2">Digitizer!#REF!</definedName>
    <definedName name="Channel_Description_26" localSheetId="2">Digitizer!#REF!</definedName>
    <definedName name="Channel_Description_27" localSheetId="2">Digitizer!#REF!</definedName>
    <definedName name="Channel_Description_28" localSheetId="2">Digitizer!#REF!</definedName>
    <definedName name="Channel_Description_29" localSheetId="2">Digitizer!#REF!</definedName>
    <definedName name="Channel_Description_30" localSheetId="2">Digitizer!#REF!</definedName>
    <definedName name="Channel_Description_31" localSheetId="2">Digitizer!#REF!</definedName>
    <definedName name="Channel_Description_32" localSheetId="2">Digitizer!#REF!</definedName>
    <definedName name="Channel_Destination_01" localSheetId="1">Synchronization!$G$6</definedName>
    <definedName name="Channel_Destination_02" localSheetId="1">Synchronization!$G$49</definedName>
    <definedName name="Channel_Direction_02" localSheetId="3">Switch!$E$24</definedName>
    <definedName name="Channel_Duty_Cycle_01" localSheetId="8">ARB!$G$7</definedName>
    <definedName name="Channel_Edge_02" localSheetId="3">Switch!$I$24</definedName>
    <definedName name="Channel_Enabled_01" localSheetId="8">ARB!$D$7</definedName>
    <definedName name="Channel_Enabled_01" localSheetId="9">'DC Power Supply'!$D$7</definedName>
    <definedName name="Channel_Enabled_01" localSheetId="2">Digitizer!$D$6</definedName>
    <definedName name="Channel_Enabled_01" localSheetId="14">Example!$D$6</definedName>
    <definedName name="Channel_Enabled_01" localSheetId="4">'Foundation Bus'!$D$6</definedName>
    <definedName name="Channel_Enabled_01" localSheetId="11">FPGA!$D$6</definedName>
    <definedName name="Channel_Enabled_01" localSheetId="13">Scope!$D$6</definedName>
    <definedName name="Channel_Enabled_01" localSheetId="6">SpaceWire!$D$7</definedName>
    <definedName name="Channel_Enabled_01" localSheetId="3">Switch!$D$6</definedName>
    <definedName name="Channel_Enabled_01" localSheetId="1">Synchronization!$D$6</definedName>
    <definedName name="Channel_Enabled_02" localSheetId="8">ARB!$D$17</definedName>
    <definedName name="Channel_Enabled_02" localSheetId="9">'DC Power Supply'!$D$19</definedName>
    <definedName name="Channel_Enabled_02" localSheetId="2">Digitizer!$D$22</definedName>
    <definedName name="Channel_Enabled_02" localSheetId="11">FPGA!$D$45</definedName>
    <definedName name="Channel_Enabled_02" localSheetId="13">Scope!$D$22</definedName>
    <definedName name="Channel_Enabled_02" localSheetId="6">SpaceWire!$D$20</definedName>
    <definedName name="Channel_Enabled_02" localSheetId="3">Switch!$D$24</definedName>
    <definedName name="Channel_Enabled_02" localSheetId="1">Synchronization!$D$49</definedName>
    <definedName name="Channel_Enabled_03" localSheetId="8">ARB!$D$27</definedName>
    <definedName name="Channel_Enabled_03" localSheetId="9">'DC Power Supply'!$D$31</definedName>
    <definedName name="Channel_Enabled_03" localSheetId="2">Digitizer!$D$38</definedName>
    <definedName name="Channel_Enabled_03" localSheetId="11">FPGA!$D$53</definedName>
    <definedName name="Channel_Enabled_03" localSheetId="13">Scope!$D$38</definedName>
    <definedName name="Channel_Enabled_04" localSheetId="9">'DC Power Supply'!$D$43</definedName>
    <definedName name="Channel_Enabled_04" localSheetId="2">Digitizer!$D$54</definedName>
    <definedName name="Channel_Enabled_04" localSheetId="13">Scope!$D$54</definedName>
    <definedName name="Channel_Enabled_05" localSheetId="9">'DC Power Supply'!$D$55</definedName>
    <definedName name="Channel_Enabled_05" localSheetId="2">Digitizer!$D$70</definedName>
    <definedName name="Channel_Enabled_05" localSheetId="13">Scope!$D$66</definedName>
    <definedName name="Channel_Enabled_06" localSheetId="9">'DC Power Supply'!$D$67</definedName>
    <definedName name="Channel_Enabled_06" localSheetId="2">Digitizer!$D$86</definedName>
    <definedName name="Channel_Enabled_06" localSheetId="13">Scope!$D$76</definedName>
    <definedName name="Channel_Enabled_07" localSheetId="9">'DC Power Supply'!$D$76</definedName>
    <definedName name="Channel_Enabled_07" localSheetId="2">Digitizer!$D$102</definedName>
    <definedName name="Channel_Enabled_07" localSheetId="13">Scope!$D$88</definedName>
    <definedName name="Channel_Enabled_08" localSheetId="9">'DC Power Supply'!$D$85</definedName>
    <definedName name="Channel_Enabled_08" localSheetId="2">Digitizer!$D$118</definedName>
    <definedName name="Channel_Enabled_09" localSheetId="9">'DC Power Supply'!$D$94</definedName>
    <definedName name="Channel_Enabled_09" localSheetId="2">Digitizer!$D$134</definedName>
    <definedName name="Channel_Enabled_10" localSheetId="2">Digitizer!$D$150</definedName>
    <definedName name="Channel_Enabled_11" localSheetId="2">Digitizer!$D$166</definedName>
    <definedName name="Channel_Enabled_12" localSheetId="2">Digitizer!$D$182</definedName>
    <definedName name="Channel_Enabled_13" localSheetId="2">Digitizer!$D$198</definedName>
    <definedName name="Channel_Enabled_14" localSheetId="2">Digitizer!$D$214</definedName>
    <definedName name="Channel_Enabled_15" localSheetId="2">Digitizer!$D$230</definedName>
    <definedName name="Channel_Enabled_16" localSheetId="2">Digitizer!#REF!</definedName>
    <definedName name="Channel_Enabled_17" localSheetId="2">Digitizer!#REF!</definedName>
    <definedName name="Channel_Enabled_18" localSheetId="2">Digitizer!#REF!</definedName>
    <definedName name="Channel_Enabled_19" localSheetId="2">Digitizer!#REF!</definedName>
    <definedName name="Channel_Enabled_20" localSheetId="2">Digitizer!#REF!</definedName>
    <definedName name="Channel_Enabled_21" localSheetId="2">Digitizer!#REF!</definedName>
    <definedName name="Channel_Enabled_22" localSheetId="2">Digitizer!#REF!</definedName>
    <definedName name="Channel_Enabled_23" localSheetId="2">Digitizer!#REF!</definedName>
    <definedName name="Channel_Enabled_24" localSheetId="2">Digitizer!#REF!</definedName>
    <definedName name="Channel_Enabled_25" localSheetId="2">Digitizer!#REF!</definedName>
    <definedName name="Channel_Enabled_26" localSheetId="2">Digitizer!#REF!</definedName>
    <definedName name="Channel_Enabled_27" localSheetId="2">Digitizer!#REF!</definedName>
    <definedName name="Channel_Enabled_28" localSheetId="2">Digitizer!#REF!</definedName>
    <definedName name="Channel_Enabled_29" localSheetId="2">Digitizer!#REF!</definedName>
    <definedName name="Channel_Enabled_30" localSheetId="2">Digitizer!#REF!</definedName>
    <definedName name="Channel_Enabled_31" localSheetId="2">Digitizer!#REF!</definedName>
    <definedName name="Channel_Enabled_32" localSheetId="2">Digitizer!#REF!</definedName>
    <definedName name="Channel_FallRate_01" localSheetId="9">'DC Power Supply'!$O$7</definedName>
    <definedName name="Channel_FallRate_02" localSheetId="9">'DC Power Supply'!$O$19</definedName>
    <definedName name="Channel_FallRate_03" localSheetId="9">'DC Power Supply'!$O$31</definedName>
    <definedName name="Channel_FallRate_04" localSheetId="9">'DC Power Supply'!$O$43</definedName>
    <definedName name="Channel_FallRate_05" localSheetId="9">'DC Power Supply'!$O$55</definedName>
    <definedName name="Channel_FallRate_06" localSheetId="9">'DC Power Supply'!$O$67</definedName>
    <definedName name="Channel_FallRate_07" localSheetId="9">'DC Power Supply'!$O$76</definedName>
    <definedName name="Channel_FallRate_08" localSheetId="9">'DC Power Supply'!$O$85</definedName>
    <definedName name="Channel_FallRate_09" localSheetId="9">'DC Power Supply'!$O$94</definedName>
    <definedName name="Channel_FSI_01" localSheetId="8">ARB!$L$7</definedName>
    <definedName name="Channel_Gain_01" localSheetId="13">Scope!$E$6</definedName>
    <definedName name="Channel_Gain_02" localSheetId="13">Scope!$E$22</definedName>
    <definedName name="Channel_Gain_03" localSheetId="13">Scope!$E$38</definedName>
    <definedName name="Channel_Gain_04" localSheetId="13">Scope!$E$54</definedName>
    <definedName name="Channel_Gain_05" localSheetId="13">Scope!$E$66</definedName>
    <definedName name="Channel_Gain_06" localSheetId="13">Scope!$E$76</definedName>
    <definedName name="Channel_Gain_07" localSheetId="13">Scope!$E$88</definedName>
    <definedName name="Channel_Impedance_01" localSheetId="13">Scope!$L$6</definedName>
    <definedName name="Channel_Impedance_02" localSheetId="8">ARB!$I$17</definedName>
    <definedName name="Channel_Impedance_02" localSheetId="13">Scope!$L$22</definedName>
    <definedName name="Channel_Impedance_03" localSheetId="13">Scope!$L$38</definedName>
    <definedName name="Channel_Impedance_04" localSheetId="13">Scope!$L$54</definedName>
    <definedName name="Channel_Impedance_05" localSheetId="13">Scope!$L$66</definedName>
    <definedName name="Channel_Impedance_06" localSheetId="13">Scope!$L$76</definedName>
    <definedName name="Channel_Impedance_07" localSheetId="13">Scope!$L$88</definedName>
    <definedName name="Channel_InitialState_01" localSheetId="3">Switch!$G$6</definedName>
    <definedName name="Channel_InitialState_02" localSheetId="3">Switch!$G$24</definedName>
    <definedName name="Channel_InternalHub_01" localSheetId="4">'Foundation Bus'!$G$6</definedName>
    <definedName name="Channel_InternalTrigger_01" localSheetId="6">SpaceWire!$K$7</definedName>
    <definedName name="Channel_InternalTrigger_02" localSheetId="6">SpaceWire!$K$20</definedName>
    <definedName name="Channel_Invert_01" localSheetId="1">Synchronization!$H$6</definedName>
    <definedName name="Channel_Invert_02" localSheetId="1">Synchronization!$H$49</definedName>
    <definedName name="Channel_LimitBehavior_01" localSheetId="9">'DC Power Supply'!$R$7</definedName>
    <definedName name="Channel_LimitBehavior_02" localSheetId="9">'DC Power Supply'!$R$19</definedName>
    <definedName name="Channel_LimitBehavior_03" localSheetId="9">'DC Power Supply'!$R$31</definedName>
    <definedName name="Channel_LimitBehavior_04" localSheetId="9">'DC Power Supply'!$R$43</definedName>
    <definedName name="Channel_LimitBehavior_05" localSheetId="9">'DC Power Supply'!$R$55</definedName>
    <definedName name="Channel_LowpassCutoffFreq_01" localSheetId="2">Digitizer!$E$6</definedName>
    <definedName name="Channel_LowpassCutoffFreq_02" localSheetId="2">Digitizer!$E$22</definedName>
    <definedName name="Channel_LowpassCutoffFreq_03" localSheetId="2">Digitizer!$E$38</definedName>
    <definedName name="Channel_LowpassCutoffFreq_04" localSheetId="2">Digitizer!$E$54</definedName>
    <definedName name="Channel_LowpassCutoffFreq_05" localSheetId="2">Digitizer!$E$70</definedName>
    <definedName name="Channel_LowpassCutoffFreq_06" localSheetId="2">Digitizer!$E$86</definedName>
    <definedName name="Channel_LowpassCutoffFreq_07" localSheetId="2">Digitizer!$E$102</definedName>
    <definedName name="Channel_LowpassCutoffFreq_08" localSheetId="2">Digitizer!$E$118</definedName>
    <definedName name="Channel_LowpassCutoffFreq_09" localSheetId="2">Digitizer!$E$134</definedName>
    <definedName name="Channel_LowpassCutoffFreq_10" localSheetId="2">Digitizer!$E$150</definedName>
    <definedName name="Channel_LowpassCutoffFreq_11" localSheetId="2">Digitizer!$E$166</definedName>
    <definedName name="Channel_LowpassCutoffFreq_12" localSheetId="2">Digitizer!$E$182</definedName>
    <definedName name="Channel_LowpassCutoffFreq_13" localSheetId="2">Digitizer!$E$198</definedName>
    <definedName name="Channel_LowpassCutoffFreq_14" localSheetId="2">Digitizer!$E$214</definedName>
    <definedName name="Channel_LowpassCutoffFreq_15" localSheetId="2">Digitizer!$E$230</definedName>
    <definedName name="Channel_LowpassCutoffFreq_16" localSheetId="2">Digitizer!#REF!</definedName>
    <definedName name="Channel_LowpassCutoffFreq_17" localSheetId="2">Digitizer!#REF!</definedName>
    <definedName name="Channel_LowpassCutoffFreq_18" localSheetId="2">Digitizer!#REF!</definedName>
    <definedName name="Channel_LowpassCutoffFreq_19" localSheetId="2">Digitizer!#REF!</definedName>
    <definedName name="Channel_LowpassCutoffFreq_20" localSheetId="2">Digitizer!#REF!</definedName>
    <definedName name="Channel_LowpassCutoffFreq_21" localSheetId="2">Digitizer!#REF!</definedName>
    <definedName name="Channel_LowpassCutoffFreq_22" localSheetId="2">Digitizer!#REF!</definedName>
    <definedName name="Channel_LowpassCutoffFreq_23" localSheetId="2">Digitizer!#REF!</definedName>
    <definedName name="Channel_LowpassCutoffFreq_24" localSheetId="2">Digitizer!#REF!</definedName>
    <definedName name="Channel_LowpassCutoffFreq_25" localSheetId="2">Digitizer!#REF!</definedName>
    <definedName name="Channel_LowpassCutoffFreq_26" localSheetId="2">Digitizer!#REF!</definedName>
    <definedName name="Channel_LowpassCutoffFreq_27" localSheetId="2">Digitizer!#REF!</definedName>
    <definedName name="Channel_LowpassCutoffFreq_28" localSheetId="2">Digitizer!#REF!</definedName>
    <definedName name="Channel_LowpassCutoffFreq_29" localSheetId="2">Digitizer!#REF!</definedName>
    <definedName name="Channel_LowpassCutoffFreq_30" localSheetId="2">Digitizer!#REF!</definedName>
    <definedName name="Channel_LowpassCutoffFreq_31" localSheetId="2">Digitizer!#REF!</definedName>
    <definedName name="Channel_LowpassCutoffFreq_32" localSheetId="2">Digitizer!#REF!</definedName>
    <definedName name="Channel_MaxV_01" localSheetId="2">Digitizer!$G$6</definedName>
    <definedName name="Channel_MaxV_02" localSheetId="2">Digitizer!$G$22</definedName>
    <definedName name="Channel_MaxV_03" localSheetId="2">Digitizer!$G$38</definedName>
    <definedName name="Channel_MaxV_04" localSheetId="2">Digitizer!$G$54</definedName>
    <definedName name="Channel_MaxV_05" localSheetId="2">Digitizer!$G$70</definedName>
    <definedName name="Channel_MaxV_06" localSheetId="2">Digitizer!$G$86</definedName>
    <definedName name="Channel_MaxV_07" localSheetId="2">Digitizer!$G$102</definedName>
    <definedName name="Channel_MaxV_08" localSheetId="2">Digitizer!$G$118</definedName>
    <definedName name="Channel_MaxV_09" localSheetId="2">Digitizer!$G$134</definedName>
    <definedName name="Channel_MaxV_10" localSheetId="2">Digitizer!$G$150</definedName>
    <definedName name="Channel_MaxV_11" localSheetId="2">Digitizer!$G$166</definedName>
    <definedName name="Channel_MaxV_12" localSheetId="2">Digitizer!$G$182</definedName>
    <definedName name="Channel_MaxV_13" localSheetId="2">Digitizer!$G$198</definedName>
    <definedName name="Channel_MaxV_14" localSheetId="2">Digitizer!$G$214</definedName>
    <definedName name="Channel_MaxV_15" localSheetId="2">Digitizer!$G$230</definedName>
    <definedName name="Channel_MaxV_16" localSheetId="2">Digitizer!#REF!</definedName>
    <definedName name="Channel_MaxV_17" localSheetId="2">Digitizer!#REF!</definedName>
    <definedName name="Channel_MaxV_18" localSheetId="2">Digitizer!#REF!</definedName>
    <definedName name="Channel_MaxV_19" localSheetId="2">Digitizer!#REF!</definedName>
    <definedName name="Channel_MaxV_20" localSheetId="2">Digitizer!#REF!</definedName>
    <definedName name="Channel_MaxV_21" localSheetId="2">Digitizer!#REF!</definedName>
    <definedName name="Channel_MaxV_22" localSheetId="2">Digitizer!#REF!</definedName>
    <definedName name="Channel_MaxV_23" localSheetId="2">Digitizer!#REF!</definedName>
    <definedName name="Channel_MaxV_24" localSheetId="2">Digitizer!#REF!</definedName>
    <definedName name="Channel_MaxV_25" localSheetId="2">Digitizer!#REF!</definedName>
    <definedName name="Channel_MaxV_26" localSheetId="2">Digitizer!#REF!</definedName>
    <definedName name="Channel_MaxV_27" localSheetId="2">Digitizer!#REF!</definedName>
    <definedName name="Channel_MaxV_28" localSheetId="2">Digitizer!#REF!</definedName>
    <definedName name="Channel_MaxV_29" localSheetId="2">Digitizer!#REF!</definedName>
    <definedName name="Channel_MaxV_30" localSheetId="2">Digitizer!#REF!</definedName>
    <definedName name="Channel_MaxV_31" localSheetId="2">Digitizer!#REF!</definedName>
    <definedName name="Channel_MaxV_32" localSheetId="2">Digitizer!#REF!</definedName>
    <definedName name="Channel_MinV_01" localSheetId="2">Digitizer!$F$6</definedName>
    <definedName name="Channel_MinV_02" localSheetId="2">Digitizer!$F$22</definedName>
    <definedName name="Channel_MinV_03" localSheetId="2">Digitizer!$F$38</definedName>
    <definedName name="Channel_MinV_04" localSheetId="2">Digitizer!$F$54</definedName>
    <definedName name="Channel_MinV_05" localSheetId="2">Digitizer!$F$70</definedName>
    <definedName name="Channel_MinV_06" localSheetId="2">Digitizer!$F$86</definedName>
    <definedName name="Channel_MinV_07" localSheetId="2">Digitizer!$F$102</definedName>
    <definedName name="Channel_MinV_08" localSheetId="2">Digitizer!$F$118</definedName>
    <definedName name="Channel_MinV_09" localSheetId="2">Digitizer!$F$134</definedName>
    <definedName name="Channel_MinV_10" localSheetId="2">Digitizer!$F$150</definedName>
    <definedName name="Channel_MinV_11" localSheetId="2">Digitizer!$F$166</definedName>
    <definedName name="Channel_MinV_12" localSheetId="2">Digitizer!$F$182</definedName>
    <definedName name="Channel_MinV_13" localSheetId="2">Digitizer!$F$198</definedName>
    <definedName name="Channel_MinV_14" localSheetId="2">Digitizer!$F$214</definedName>
    <definedName name="Channel_MinV_15" localSheetId="2">Digitizer!$F$230</definedName>
    <definedName name="Channel_MinV_16" localSheetId="2">Digitizer!#REF!</definedName>
    <definedName name="Channel_MinV_17" localSheetId="2">Digitizer!#REF!</definedName>
    <definedName name="Channel_MinV_18" localSheetId="2">Digitizer!#REF!</definedName>
    <definedName name="Channel_MinV_19" localSheetId="2">Digitizer!#REF!</definedName>
    <definedName name="Channel_MinV_20" localSheetId="2">Digitizer!#REF!</definedName>
    <definedName name="Channel_MinV_21" localSheetId="2">Digitizer!#REF!</definedName>
    <definedName name="Channel_MinV_22" localSheetId="2">Digitizer!#REF!</definedName>
    <definedName name="Channel_MinV_23" localSheetId="2">Digitizer!#REF!</definedName>
    <definedName name="Channel_MinV_24" localSheetId="2">Digitizer!#REF!</definedName>
    <definedName name="Channel_MinV_25" localSheetId="2">Digitizer!#REF!</definedName>
    <definedName name="Channel_MinV_26" localSheetId="2">Digitizer!#REF!</definedName>
    <definedName name="Channel_MinV_27" localSheetId="2">Digitizer!#REF!</definedName>
    <definedName name="Channel_MinV_28" localSheetId="2">Digitizer!#REF!</definedName>
    <definedName name="Channel_MinV_29" localSheetId="2">Digitizer!#REF!</definedName>
    <definedName name="Channel_MinV_30" localSheetId="2">Digitizer!#REF!</definedName>
    <definedName name="Channel_MinV_31" localSheetId="2">Digitizer!#REF!</definedName>
    <definedName name="Channel_MinV_32" localSheetId="2">Digitizer!#REF!</definedName>
    <definedName name="Channel_OffDuration_01" localSheetId="11">FPGA!$G$6</definedName>
    <definedName name="Channel_Offset_01" localSheetId="11">FPGA!$H$6</definedName>
    <definedName name="Channel_Offset_01" localSheetId="13">Scope!$F$6</definedName>
    <definedName name="Channel_Offset_02" localSheetId="8">ARB!$L$17</definedName>
    <definedName name="Channel_Offset_02" localSheetId="13">Scope!$F$22</definedName>
    <definedName name="Channel_Offset_03" localSheetId="13">Scope!$F$38</definedName>
    <definedName name="Channel_Offset_04" localSheetId="13">Scope!$F$54</definedName>
    <definedName name="Channel_Offset_05" localSheetId="13">Scope!$F$66</definedName>
    <definedName name="Channel_Offset_06" localSheetId="13">Scope!$F$76</definedName>
    <definedName name="Channel_Offset_07" localSheetId="13">Scope!$F$88</definedName>
    <definedName name="Channel_Output_Enabled_02" localSheetId="8">ARB!$J$17</definedName>
    <definedName name="Channel_Output_Mode_02" localSheetId="8">ARB!$H$17</definedName>
    <definedName name="Channel_OutputControl_01" localSheetId="9">'DC Power Supply'!$F$7</definedName>
    <definedName name="Channel_OutputControl_02" localSheetId="9">'DC Power Supply'!$F$19</definedName>
    <definedName name="Channel_OutputControl_03" localSheetId="9">'DC Power Supply'!$F$31</definedName>
    <definedName name="Channel_OutputControl_04" localSheetId="9">'DC Power Supply'!$F$43</definedName>
    <definedName name="Channel_OutputControl_05" localSheetId="9">'DC Power Supply'!$F$55</definedName>
    <definedName name="Channel_OutputControl_06" localSheetId="9">'DC Power Supply'!$F$67</definedName>
    <definedName name="Channel_OutputControl_07" localSheetId="9">'DC Power Supply'!$F$76</definedName>
    <definedName name="Channel_OutputControl_08" localSheetId="9">'DC Power Supply'!$F$85</definedName>
    <definedName name="Channel_OutputControl_09" localSheetId="9">'DC Power Supply'!$F$94</definedName>
    <definedName name="Channel_OutputControlPin_01" localSheetId="9">'DC Power Supply'!$G$7</definedName>
    <definedName name="Channel_OutputControlPin_02" localSheetId="9">'DC Power Supply'!$G$19</definedName>
    <definedName name="Channel_OutputControlPin_03" localSheetId="9">'DC Power Supply'!$G$31</definedName>
    <definedName name="Channel_OutputControlPin_04" localSheetId="9">'DC Power Supply'!$G$43</definedName>
    <definedName name="Channel_OutputControlPin_05" localSheetId="9">'DC Power Supply'!$G$55</definedName>
    <definedName name="Channel_OutputControlPin_06" localSheetId="9">'DC Power Supply'!$G$67</definedName>
    <definedName name="Channel_OutputControlPin_07" localSheetId="9">'DC Power Supply'!$G$76</definedName>
    <definedName name="Channel_OutputControlPin_08" localSheetId="9">'DC Power Supply'!$G$85</definedName>
    <definedName name="Channel_OutputControlPin_09" localSheetId="9">'DC Power Supply'!$G$94</definedName>
    <definedName name="Channel_OutputEnabled_01" localSheetId="9">'DC Power Supply'!$E$7</definedName>
    <definedName name="Channel_OutputEnabled_02" localSheetId="9">'DC Power Supply'!$E$19</definedName>
    <definedName name="Channel_OutputEnabled_03" localSheetId="9">'DC Power Supply'!$E$31</definedName>
    <definedName name="Channel_OutputEnabled_04" localSheetId="9">'DC Power Supply'!$E$43</definedName>
    <definedName name="Channel_OutputEnabled_05" localSheetId="9">'DC Power Supply'!$E$55</definedName>
    <definedName name="Channel_OutputEnabled_06" localSheetId="9">'DC Power Supply'!$E$67</definedName>
    <definedName name="Channel_OutputEnabled_07" localSheetId="9">'DC Power Supply'!$E$76</definedName>
    <definedName name="Channel_OutputEnabled_08" localSheetId="9">'DC Power Supply'!$E$85</definedName>
    <definedName name="Channel_OutputEnabled_09" localSheetId="9">'DC Power Supply'!$E$94</definedName>
    <definedName name="Channel_Payload_Bytes_01" localSheetId="6">SpaceWire!$L$7</definedName>
    <definedName name="Channel_Payload_Bytes_02" localSheetId="6">SpaceWire!$L$20</definedName>
    <definedName name="Channel_PolyFactor_01" localSheetId="2">Digitizer!$H$6</definedName>
    <definedName name="Channel_PolyFactor_02" localSheetId="2">Digitizer!$H$22</definedName>
    <definedName name="Channel_PolyFactor_03" localSheetId="2">Digitizer!$H$38</definedName>
    <definedName name="Channel_PolyFactor_04" localSheetId="2">Digitizer!$H$54</definedName>
    <definedName name="Channel_PolyFactor_05" localSheetId="2">Digitizer!$H$70</definedName>
    <definedName name="Channel_PolyFactor_06" localSheetId="2">Digitizer!$H$86</definedName>
    <definedName name="Channel_PolyFactor_07" localSheetId="2">Digitizer!$H$102</definedName>
    <definedName name="Channel_PolyFactor_08" localSheetId="2">Digitizer!$H$118</definedName>
    <definedName name="Channel_PolyFactor_09" localSheetId="2">Digitizer!$H$134</definedName>
    <definedName name="Channel_PolyFactor_10" localSheetId="2">Digitizer!$H$150</definedName>
    <definedName name="Channel_PolyFactor_11" localSheetId="2">Digitizer!$H$166</definedName>
    <definedName name="Channel_PolyFactor_12" localSheetId="2">Digitizer!$H$182</definedName>
    <definedName name="Channel_PolyFactor_13" localSheetId="2">Digitizer!$H$198</definedName>
    <definedName name="Channel_PolyFactor_14" localSheetId="2">Digitizer!$H$214</definedName>
    <definedName name="Channel_PolyFactor_15" localSheetId="2">Digitizer!$H$230</definedName>
    <definedName name="Channel_PolyFactor_16" localSheetId="2">Digitizer!#REF!</definedName>
    <definedName name="Channel_PolyFactor_17" localSheetId="2">Digitizer!#REF!</definedName>
    <definedName name="Channel_PolyFactor_18" localSheetId="2">Digitizer!#REF!</definedName>
    <definedName name="Channel_PolyFactor_19" localSheetId="2">Digitizer!#REF!</definedName>
    <definedName name="Channel_PolyFactor_20" localSheetId="2">Digitizer!#REF!</definedName>
    <definedName name="Channel_PolyFactor_21" localSheetId="2">Digitizer!#REF!</definedName>
    <definedName name="Channel_PolyFactor_22" localSheetId="2">Digitizer!#REF!</definedName>
    <definedName name="Channel_PolyFactor_23" localSheetId="2">Digitizer!#REF!</definedName>
    <definedName name="Channel_PolyFactor_24" localSheetId="2">Digitizer!#REF!</definedName>
    <definedName name="Channel_PolyFactor_25" localSheetId="2">Digitizer!#REF!</definedName>
    <definedName name="Channel_PolyFactor_26" localSheetId="2">Digitizer!#REF!</definedName>
    <definedName name="Channel_PolyFactor_27" localSheetId="2">Digitizer!#REF!</definedName>
    <definedName name="Channel_PolyFactor_28" localSheetId="2">Digitizer!#REF!</definedName>
    <definedName name="Channel_PolyFactor_29" localSheetId="2">Digitizer!#REF!</definedName>
    <definedName name="Channel_PolyFactor_30" localSheetId="2">Digitizer!#REF!</definedName>
    <definedName name="Channel_PolyFactor_31" localSheetId="2">Digitizer!#REF!</definedName>
    <definedName name="Channel_PolyFactor_32" localSheetId="2">Digitizer!#REF!</definedName>
    <definedName name="Channel_Port_Action_Tx_Packet_01" localSheetId="6">SpaceWire!$H$7</definedName>
    <definedName name="Channel_Port_Action_Tx_Packet_02" localSheetId="6">SpaceWire!$H$20</definedName>
    <definedName name="Channel_PreTestI_01" localSheetId="9">'DC Power Supply'!$I$7</definedName>
    <definedName name="Channel_PreTestI_02" localSheetId="9">'DC Power Supply'!$I$19</definedName>
    <definedName name="Channel_PreTestI_03" localSheetId="9">'DC Power Supply'!$I$31</definedName>
    <definedName name="Channel_PreTestI_04" localSheetId="9">'DC Power Supply'!$I$43</definedName>
    <definedName name="Channel_PreTestI_05" localSheetId="9">'DC Power Supply'!$I$55</definedName>
    <definedName name="Channel_PreTestI_06" localSheetId="9">'DC Power Supply'!$I$67</definedName>
    <definedName name="Channel_PreTestI_07" localSheetId="9">'DC Power Supply'!$I$76</definedName>
    <definedName name="Channel_PreTestI_08" localSheetId="9">'DC Power Supply'!$I$85</definedName>
    <definedName name="Channel_PreTestI_09" localSheetId="9">'DC Power Supply'!$I$94</definedName>
    <definedName name="Channel_PreTestV_01" localSheetId="9">'DC Power Supply'!$H$7</definedName>
    <definedName name="Channel_PreTestV_02" localSheetId="9">'DC Power Supply'!$H$19</definedName>
    <definedName name="Channel_PreTestV_03" localSheetId="9">'DC Power Supply'!$H$31</definedName>
    <definedName name="Channel_PreTestV_04" localSheetId="9">'DC Power Supply'!$H$43</definedName>
    <definedName name="Channel_PreTestV_05" localSheetId="9">'DC Power Supply'!$H$55</definedName>
    <definedName name="Channel_PreTestV_06" localSheetId="9">'DC Power Supply'!$H$67</definedName>
    <definedName name="Channel_PreTestV_07" localSheetId="9">'DC Power Supply'!$H$76</definedName>
    <definedName name="Channel_PreTestV_08" localSheetId="9">'DC Power Supply'!$H$85</definedName>
    <definedName name="Channel_PreTestV_09" localSheetId="9">'DC Power Supply'!$H$94</definedName>
    <definedName name="Channel_RiseRate_01" localSheetId="9">'DC Power Supply'!$N$7</definedName>
    <definedName name="Channel_RiseRate_02" localSheetId="9">'DC Power Supply'!$N$19</definedName>
    <definedName name="Channel_RiseRate_03" localSheetId="9">'DC Power Supply'!$N$31</definedName>
    <definedName name="Channel_RiseRate_04" localSheetId="9">'DC Power Supply'!$N$43</definedName>
    <definedName name="Channel_RiseRate_05" localSheetId="9">'DC Power Supply'!$N$55</definedName>
    <definedName name="Channel_RiseRate_06" localSheetId="9">'DC Power Supply'!$N$67</definedName>
    <definedName name="Channel_RiseRate_07" localSheetId="9">'DC Power Supply'!$N$76</definedName>
    <definedName name="Channel_RiseRate_08" localSheetId="9">'DC Power Supply'!$N$85</definedName>
    <definedName name="Channel_RiseRate_09" localSheetId="9">'DC Power Supply'!$N$94</definedName>
    <definedName name="Channel_Sample_02" localSheetId="8">ARB!$F$17</definedName>
    <definedName name="Channel_Sample_Rate_02" localSheetId="8">ARB!$E$17</definedName>
    <definedName name="Channel_SCRUB_Launch_01" comment="Scrub the Launch signal (BOOL)" localSheetId="8">ARB!$M$7</definedName>
    <definedName name="Channel_SoftwareTrigDelay_01" localSheetId="1">Synchronization!$K$6</definedName>
    <definedName name="Channel_SoftwareTrigDelay_02" localSheetId="1">Synchronization!$K$49</definedName>
    <definedName name="Channel_Source_01" localSheetId="1">Synchronization!$F$6</definedName>
    <definedName name="Channel_Source_02" localSheetId="1">Synchronization!$F$49</definedName>
    <definedName name="Channel_Speed_01" localSheetId="4">'Foundation Bus'!$E$6</definedName>
    <definedName name="Channel_StartTime_01" localSheetId="9">'DC Power Supply'!$P$7</definedName>
    <definedName name="Channel_StartTime_02" localSheetId="9">'DC Power Supply'!$P$19</definedName>
    <definedName name="Channel_StartTime_03" localSheetId="9">'DC Power Supply'!$P$31</definedName>
    <definedName name="Channel_StartTime_04" localSheetId="9">'DC Power Supply'!$P$43</definedName>
    <definedName name="Channel_StartTime_05" localSheetId="9">'DC Power Supply'!$P$55</definedName>
    <definedName name="Channel_StartTime_06" localSheetId="9">'DC Power Supply'!$P$67</definedName>
    <definedName name="Channel_StartTime_07" localSheetId="9">'DC Power Supply'!$P$76</definedName>
    <definedName name="Channel_StartTime_08" localSheetId="9">'DC Power Supply'!$P$85</definedName>
    <definedName name="Channel_StartTime_09" localSheetId="9">'DC Power Supply'!$P$94</definedName>
    <definedName name="Channel_StopTime_0" localSheetId="9">'DC Power Supply'!$Q$67</definedName>
    <definedName name="Channel_StopTime_01" localSheetId="9">'DC Power Supply'!$Q$7</definedName>
    <definedName name="Channel_StopTime_02" localSheetId="9">'DC Power Supply'!$Q$19</definedName>
    <definedName name="Channel_StopTime_03" localSheetId="9">'DC Power Supply'!$Q$31</definedName>
    <definedName name="Channel_StopTime_04" localSheetId="9">'DC Power Supply'!$Q$43</definedName>
    <definedName name="Channel_StopTime_05" localSheetId="9">'DC Power Supply'!$Q$55</definedName>
    <definedName name="Channel_StopTime_07" localSheetId="9">'DC Power Supply'!$Q$76</definedName>
    <definedName name="Channel_StopTime_08" localSheetId="9">'DC Power Supply'!$Q$85</definedName>
    <definedName name="Channel_StopTime_09" localSheetId="9">'DC Power Supply'!$Q$94</definedName>
    <definedName name="Channel_SynchronizationClock_01" localSheetId="1">Synchronization!$J$6</definedName>
    <definedName name="Channel_SynchronizationClock_02" localSheetId="1">Synchronization!$J$49</definedName>
    <definedName name="Channel_TMTO_Launch_01" localSheetId="8">ARB!$J$7</definedName>
    <definedName name="Channel_TMTO_Launch_Delay_01" localSheetId="8">ARB!$K$7</definedName>
    <definedName name="Channel_TMTO_Pre_Launch_01" localSheetId="8">ARB!$I$7</definedName>
    <definedName name="Channel_TMTO_Sequence_Frequency_01" localSheetId="8">ARB!$H$7</definedName>
    <definedName name="Channel_TransitionTimes_01" localSheetId="3">Switch!$H$6</definedName>
    <definedName name="Channel_TransitionTimes_02" localSheetId="3">Switch!$H$24</definedName>
    <definedName name="Channel_Trigger_02" localSheetId="8">ARB!$N$17</definedName>
    <definedName name="Channel_Trigger_on_Timecode_01" localSheetId="6">SpaceWire!$G$7</definedName>
    <definedName name="Channel_Trigger_on_Timecode_02" localSheetId="6">SpaceWire!$G$20</definedName>
    <definedName name="Channel_TriggerSource_01" localSheetId="9">'DC Power Supply'!$S$7</definedName>
    <definedName name="Channel_TriggerSource_02" localSheetId="9">'DC Power Supply'!$S$19</definedName>
    <definedName name="Channel_TriggerSource_03" localSheetId="9">'DC Power Supply'!$S$31</definedName>
    <definedName name="Channel_TriggerSource_04" localSheetId="9">'DC Power Supply'!$S$43</definedName>
    <definedName name="Channel_TriggerSource_05" localSheetId="9">'DC Power Supply'!$S$55</definedName>
    <definedName name="Channel_TriState_01" localSheetId="6">SpaceWire!$F$7</definedName>
    <definedName name="Channel_TriState_02" localSheetId="6">SpaceWire!$F$20</definedName>
    <definedName name="Channel_Tx_EOP_Character_01" localSheetId="6">SpaceWire!#REF!</definedName>
    <definedName name="Channel_Tx_EOP_Character_02" localSheetId="6">SpaceWire!#REF!</definedName>
    <definedName name="Channel_TxClkDivisor_01" localSheetId="6">SpaceWire!$J$7</definedName>
    <definedName name="Channel_TxClkDivisor_02" localSheetId="6">SpaceWire!$J$20</definedName>
    <definedName name="Channel_TxClkMultiplier_01" localSheetId="6">SpaceWire!$I$7</definedName>
    <definedName name="Channel_TxClkMultiplier_02" localSheetId="6">SpaceWire!$I$20</definedName>
    <definedName name="Channel_Type_01" localSheetId="11">FPGA!$E$6</definedName>
    <definedName name="Channel_Type_01" localSheetId="1">Synchronization!$E$6</definedName>
    <definedName name="Channel_Type_02" localSheetId="1">Synchronization!$E$49</definedName>
    <definedName name="Channel_Unit_01" localSheetId="2">Digitizer!$O$6</definedName>
    <definedName name="Channel_Unit_02" localSheetId="2">Digitizer!$O$22</definedName>
    <definedName name="Channel_Unit_03" localSheetId="2">Digitizer!$O$38</definedName>
    <definedName name="Channel_Unit_04" localSheetId="2">Digitizer!$O$54</definedName>
    <definedName name="Channel_Unit_05" localSheetId="2">Digitizer!$O$70</definedName>
    <definedName name="Channel_Unit_06" localSheetId="2">Digitizer!$O$86</definedName>
    <definedName name="Channel_Unit_07" localSheetId="2">Digitizer!$O$102</definedName>
    <definedName name="Channel_Unit_08" localSheetId="2">Digitizer!$O$118</definedName>
    <definedName name="Channel_Unit_09" localSheetId="2">Digitizer!$O$134</definedName>
    <definedName name="Channel_Unit_10" localSheetId="2">Digitizer!$O$150</definedName>
    <definedName name="Channel_Unit_11" localSheetId="2">Digitizer!$O$166</definedName>
    <definedName name="Channel_Unit_12" localSheetId="2">Digitizer!$O$182</definedName>
    <definedName name="Channel_Unit_13" localSheetId="2">Digitizer!$O$198</definedName>
    <definedName name="Channel_Unit_14" localSheetId="2">Digitizer!$O$214</definedName>
    <definedName name="Channel_Unit_15" localSheetId="2">Digitizer!$O$230</definedName>
    <definedName name="Channel_Unit_16" localSheetId="2">Digitizer!#REF!</definedName>
    <definedName name="Channel_Unit_17" localSheetId="2">Digitizer!#REF!</definedName>
    <definedName name="Channel_Unit_18" localSheetId="2">Digitizer!#REF!</definedName>
    <definedName name="Channel_Unit_19" localSheetId="2">Digitizer!#REF!</definedName>
    <definedName name="Channel_Unit_20" localSheetId="2">Digitizer!#REF!</definedName>
    <definedName name="Channel_Unit_21" localSheetId="2">Digitizer!#REF!</definedName>
    <definedName name="Channel_Unit_22" localSheetId="2">Digitizer!#REF!</definedName>
    <definedName name="Channel_Unit_23" localSheetId="2">Digitizer!#REF!</definedName>
    <definedName name="Channel_Unit_24" localSheetId="2">Digitizer!#REF!</definedName>
    <definedName name="Channel_Unit_25" localSheetId="2">Digitizer!#REF!</definedName>
    <definedName name="Channel_Unit_26" localSheetId="2">Digitizer!#REF!</definedName>
    <definedName name="Channel_Unit_27" localSheetId="2">Digitizer!#REF!</definedName>
    <definedName name="Channel_Unit_28" localSheetId="2">Digitizer!#REF!</definedName>
    <definedName name="Channel_Unit_29" localSheetId="2">Digitizer!#REF!</definedName>
    <definedName name="Channel_Unit_30" localSheetId="2">Digitizer!#REF!</definedName>
    <definedName name="Channel_Unit_31" localSheetId="2">Digitizer!#REF!</definedName>
    <definedName name="Channel_Unit_32" localSheetId="2">Digitizer!#REF!</definedName>
    <definedName name="Channel_Unit_33" localSheetId="2">Digitizer!$O$6</definedName>
    <definedName name="Channel_Unit_34" localSheetId="2">Digitizer!$O$22</definedName>
    <definedName name="Channel_Unit_35" localSheetId="2">Digitizer!$O$38</definedName>
    <definedName name="Channel_Unit_36" localSheetId="2">Digitizer!$O$54</definedName>
    <definedName name="Channel_Unit_37" localSheetId="2">Digitizer!$O$70</definedName>
    <definedName name="Channel_Unit_38" localSheetId="2">Digitizer!$O$86</definedName>
    <definedName name="Channel_Unit_39" localSheetId="2">Digitizer!$O$102</definedName>
    <definedName name="Channel_Unit_40" localSheetId="2">Digitizer!$O$118</definedName>
    <definedName name="Channel_Unit_41" localSheetId="2">Digitizer!$O$134</definedName>
    <definedName name="Channel_Unit_42" localSheetId="2">Digitizer!$O$150</definedName>
    <definedName name="Channel_Unit_43" localSheetId="2">Digitizer!$O$166</definedName>
    <definedName name="Channel_Unit_44" localSheetId="2">Digitizer!$O$182</definedName>
    <definedName name="Channel_Unit_45" localSheetId="2">Digitizer!$O$198</definedName>
    <definedName name="Channel_Unit_46" localSheetId="2">Digitizer!$O$214</definedName>
    <definedName name="Channel_Unit_47" localSheetId="2">Digitizer!$O$230</definedName>
    <definedName name="Channel_Unit_48" localSheetId="2">Digitizer!#REF!</definedName>
    <definedName name="Channel_Unit_49" localSheetId="2">Digitizer!#REF!</definedName>
    <definedName name="Channel_Unit_50" localSheetId="2">Digitizer!#REF!</definedName>
    <definedName name="Channel_Unit_51" localSheetId="2">Digitizer!#REF!</definedName>
    <definedName name="Channel_Unit_52" localSheetId="2">Digitizer!#REF!</definedName>
    <definedName name="Channel_Unit_53" localSheetId="2">Digitizer!#REF!</definedName>
    <definedName name="Channel_Unit_54" localSheetId="2">Digitizer!#REF!</definedName>
    <definedName name="Channel_Unit_55" localSheetId="2">Digitizer!#REF!</definedName>
    <definedName name="Channel_Unit_56" localSheetId="2">Digitizer!#REF!</definedName>
    <definedName name="Channel_Unit_57" localSheetId="2">Digitizer!#REF!</definedName>
    <definedName name="Channel_Unit_58" localSheetId="2">Digitizer!#REF!</definedName>
    <definedName name="Channel_Unit_59" localSheetId="2">Digitizer!#REF!</definedName>
    <definedName name="Channel_Unit_60" localSheetId="2">Digitizer!#REF!</definedName>
    <definedName name="Channel_Unit_61" localSheetId="2">Digitizer!#REF!</definedName>
    <definedName name="Channel_Unit_62" localSheetId="2">Digitizer!#REF!</definedName>
    <definedName name="Channel_Unit_63" localSheetId="2">Digitizer!#REF!</definedName>
    <definedName name="Channel_Unit_64" localSheetId="2">Digitizer!#REF!</definedName>
    <definedName name="Channel_Unit_65" localSheetId="2">Digitizer!$O$6</definedName>
    <definedName name="Channel_Unit_66" localSheetId="2">Digitizer!$O$22</definedName>
    <definedName name="Channel_Unit_67" localSheetId="2">Digitizer!$O$38</definedName>
    <definedName name="Channel_Unit_68" localSheetId="2">Digitizer!$O$54</definedName>
    <definedName name="Channel_Unit_69" localSheetId="2">Digitizer!$O$70</definedName>
    <definedName name="Channel_Unit_70" localSheetId="2">Digitizer!$O$86</definedName>
    <definedName name="Channel_Unit_71" localSheetId="2">Digitizer!$O$102</definedName>
    <definedName name="Channel_Unit_72" localSheetId="2">Digitizer!$O$118</definedName>
    <definedName name="Channel_Unit_73" localSheetId="2">Digitizer!$O$134</definedName>
    <definedName name="Channel_Unit_74" localSheetId="2">Digitizer!$O$150</definedName>
    <definedName name="Channel_Unit_75" localSheetId="2">Digitizer!$O$166</definedName>
    <definedName name="Channel_Unit_76" localSheetId="2">Digitizer!$O$182</definedName>
    <definedName name="Channel_Unit_77" localSheetId="2">Digitizer!$O$198</definedName>
    <definedName name="Channel_Unit_78" localSheetId="2">Digitizer!$O$214</definedName>
    <definedName name="Channel_Unit_79" localSheetId="2">Digitizer!$O$230</definedName>
    <definedName name="Channel_Unit_80" localSheetId="2">Digitizer!#REF!</definedName>
    <definedName name="Channel_Unit_81" localSheetId="2">Digitizer!#REF!</definedName>
    <definedName name="Channel_Unit_82" localSheetId="2">Digitizer!#REF!</definedName>
    <definedName name="Channel_Unit_83" localSheetId="2">Digitizer!#REF!</definedName>
    <definedName name="Channel_Unit_84" localSheetId="2">Digitizer!#REF!</definedName>
    <definedName name="Channel_Unit_85" localSheetId="2">Digitizer!#REF!</definedName>
    <definedName name="Channel_Unit_86" localSheetId="2">Digitizer!#REF!</definedName>
    <definedName name="Channel_Unit_87" localSheetId="2">Digitizer!#REF!</definedName>
    <definedName name="Channel_Unit_88" localSheetId="2">Digitizer!#REF!</definedName>
    <definedName name="Channel_Unit_89" localSheetId="2">Digitizer!#REF!</definedName>
    <definedName name="Channel_Unit_90" localSheetId="2">Digitizer!#REF!</definedName>
    <definedName name="Channel_Unit_91" localSheetId="2">Digitizer!#REF!</definedName>
    <definedName name="Channel_Unit_92" localSheetId="2">Digitizer!#REF!</definedName>
    <definedName name="Channel_Unit_93" localSheetId="2">Digitizer!#REF!</definedName>
    <definedName name="Channel_Unit_94" localSheetId="2">Digitizer!#REF!</definedName>
    <definedName name="Channel_Unit_95" localSheetId="2">Digitizer!#REF!</definedName>
    <definedName name="Channel_Unit_96" localSheetId="2">Digitizer!#REF!</definedName>
    <definedName name="Channel_Units_01" localSheetId="2">Digitizer!$O$6</definedName>
    <definedName name="Channel_Units_01" localSheetId="13">Scope!$G$6</definedName>
    <definedName name="Channel_Units_02" localSheetId="2">Digitizer!$O$22</definedName>
    <definedName name="Channel_Units_02" localSheetId="13">Scope!$G$22</definedName>
    <definedName name="Channel_Units_03" localSheetId="2">Digitizer!$O$38</definedName>
    <definedName name="Channel_Units_03" localSheetId="13">Scope!$G$38</definedName>
    <definedName name="Channel_Units_04" localSheetId="2">Digitizer!$O$54</definedName>
    <definedName name="Channel_Units_04" localSheetId="13">Scope!$G$54</definedName>
    <definedName name="Channel_Units_05" localSheetId="2">Digitizer!$O$70</definedName>
    <definedName name="Channel_Units_05" localSheetId="13">Scope!$G$66</definedName>
    <definedName name="Channel_Units_06" localSheetId="2">Digitizer!$O$86</definedName>
    <definedName name="Channel_Units_06" localSheetId="13">Scope!$G$76</definedName>
    <definedName name="Channel_Units_07" localSheetId="2">Digitizer!$O$102</definedName>
    <definedName name="Channel_Units_07" localSheetId="13">Scope!$G$88</definedName>
    <definedName name="Channel_Units_08" localSheetId="2">Digitizer!$O$118</definedName>
    <definedName name="Channel_Units_09" localSheetId="2">Digitizer!$O$134</definedName>
    <definedName name="Channel_Units_10" localSheetId="2">Digitizer!$O$150</definedName>
    <definedName name="Channel_Units_11" localSheetId="2">Digitizer!$O$166</definedName>
    <definedName name="Channel_Units_12" localSheetId="2">Digitizer!$O$182</definedName>
    <definedName name="Channel_Units_13" localSheetId="2">Digitizer!$O$198</definedName>
    <definedName name="Channel_Units_14" localSheetId="2">Digitizer!$O$214</definedName>
    <definedName name="Channel_Units_15" localSheetId="2">Digitizer!$O$230</definedName>
    <definedName name="Channel_Units_16" localSheetId="2">Digitizer!#REF!</definedName>
    <definedName name="Channel_Units_17" localSheetId="2">Digitizer!#REF!</definedName>
    <definedName name="Channel_Units_18" localSheetId="2">Digitizer!#REF!</definedName>
    <definedName name="Channel_Units_19" localSheetId="2">Digitizer!#REF!</definedName>
    <definedName name="Channel_Units_20" localSheetId="2">Digitizer!#REF!</definedName>
    <definedName name="Channel_Units_21" localSheetId="2">Digitizer!#REF!</definedName>
    <definedName name="Channel_Units_22" localSheetId="2">Digitizer!#REF!</definedName>
    <definedName name="Channel_Units_23" localSheetId="2">Digitizer!#REF!</definedName>
    <definedName name="Channel_Units_24" localSheetId="2">Digitizer!#REF!</definedName>
    <definedName name="Channel_Units_25" localSheetId="2">Digitizer!#REF!</definedName>
    <definedName name="Channel_Units_26" localSheetId="2">Digitizer!#REF!</definedName>
    <definedName name="Channel_Units_27" localSheetId="2">Digitizer!#REF!</definedName>
    <definedName name="Channel_Units_28" localSheetId="2">Digitizer!#REF!</definedName>
    <definedName name="Channel_Units_29" localSheetId="2">Digitizer!#REF!</definedName>
    <definedName name="Channel_Units_30" localSheetId="2">Digitizer!#REF!</definedName>
    <definedName name="Channel_Units_31" localSheetId="2">Digitizer!#REF!</definedName>
    <definedName name="Channel_Units_32" localSheetId="2">Digitizer!$O$6</definedName>
    <definedName name="Channel_Units_33" localSheetId="2">Digitizer!$O$22</definedName>
    <definedName name="Channel_Units_34" localSheetId="2">Digitizer!$O$38</definedName>
    <definedName name="Channel_UpdateEdge_01" localSheetId="1">Synchronization!$I$6</definedName>
    <definedName name="Channel_UpdateEdge_02" localSheetId="1">Synchronization!$I$49</definedName>
    <definedName name="Channel_VOffset_01" localSheetId="13">Scope!$I$6</definedName>
    <definedName name="Channel_VOffset_02" localSheetId="13">Scope!$I$22</definedName>
    <definedName name="Channel_VOffset_03" localSheetId="13">Scope!$I$38</definedName>
    <definedName name="Channel_VOffset_04" localSheetId="13">Scope!$I$54</definedName>
    <definedName name="Channel_VOffset_05" localSheetId="13">Scope!$I$66</definedName>
    <definedName name="Channel_VOffset_06" localSheetId="13">Scope!$I$76</definedName>
    <definedName name="Channel_VOffset_07" localSheetId="13">Scope!$I$88</definedName>
    <definedName name="Channel_VoltageHigh_01" localSheetId="9">'DC Power Supply'!$L$7</definedName>
    <definedName name="Channel_VoltageHigh_02" localSheetId="9">'DC Power Supply'!$L$19</definedName>
    <definedName name="Channel_VoltageHigh_03" localSheetId="9">'DC Power Supply'!$L$31</definedName>
    <definedName name="Channel_VoltageHigh_04" localSheetId="9">'DC Power Supply'!$L$43</definedName>
    <definedName name="Channel_VoltageHigh_05" localSheetId="9">'DC Power Supply'!$L$55</definedName>
    <definedName name="Channel_VoltageHigh_06" localSheetId="9">'DC Power Supply'!$L$67</definedName>
    <definedName name="Channel_VoltageHigh_07" localSheetId="9">'DC Power Supply'!$L$76</definedName>
    <definedName name="Channel_VoltageHigh_08" localSheetId="9">'DC Power Supply'!$L$85</definedName>
    <definedName name="Channel_VoltageHigh_09" localSheetId="9">'DC Power Supply'!$L$94</definedName>
    <definedName name="Channel_VoltageLow_01" localSheetId="9">'DC Power Supply'!$J$7</definedName>
    <definedName name="Channel_VoltageLow_02" localSheetId="9">'DC Power Supply'!$J$19</definedName>
    <definedName name="Channel_VoltageLow_03" localSheetId="9">'DC Power Supply'!$J$31</definedName>
    <definedName name="Channel_VoltageLow_04" localSheetId="9">'DC Power Supply'!$J$43</definedName>
    <definedName name="Channel_VoltageLow_05" localSheetId="9">'DC Power Supply'!$J$55</definedName>
    <definedName name="Channel_VoltageLow_06" localSheetId="9">'DC Power Supply'!$J$67</definedName>
    <definedName name="Channel_VoltageLow_07" localSheetId="9">'DC Power Supply'!$J$76</definedName>
    <definedName name="Channel_VoltageLow_08" localSheetId="9">'DC Power Supply'!$J$85</definedName>
    <definedName name="Channel_VoltageLow_09" localSheetId="9">'DC Power Supply'!$J$94</definedName>
    <definedName name="Channel_VoltageNom_01" localSheetId="9">'DC Power Supply'!$K$7</definedName>
    <definedName name="Channel_VoltageNom_02" localSheetId="9">'DC Power Supply'!$K$19</definedName>
    <definedName name="Channel_VoltageNom_03" localSheetId="9">'DC Power Supply'!$K$31</definedName>
    <definedName name="Channel_VoltageNom_04" localSheetId="9">'DC Power Supply'!$K$43</definedName>
    <definedName name="Channel_VoltageNom_05" localSheetId="9">'DC Power Supply'!$K$55</definedName>
    <definedName name="Channel_VoltageNom_06" localSheetId="9">'DC Power Supply'!$K$67</definedName>
    <definedName name="Channel_VoltageNom_07" localSheetId="9">'DC Power Supply'!$K$76</definedName>
    <definedName name="Channel_VoltageNom_08" localSheetId="9">'DC Power Supply'!$K$85</definedName>
    <definedName name="Channel_VoltageNom_09" localSheetId="9">'DC Power Supply'!$K$94</definedName>
    <definedName name="Channel_VRange_01" localSheetId="13">Scope!$H$6</definedName>
    <definedName name="Channel_VRange_02" localSheetId="13">Scope!$H$22</definedName>
    <definedName name="Channel_VRange_03" localSheetId="13">Scope!$H$38</definedName>
    <definedName name="Channel_VRange_04" localSheetId="13">Scope!$H$54</definedName>
    <definedName name="Channel_VRange_05" localSheetId="13">Scope!$H$66</definedName>
    <definedName name="Channel_VRange_06" localSheetId="13">Scope!$H$76</definedName>
    <definedName name="Channel_VRange_07" localSheetId="13">Scope!$H$88</definedName>
    <definedName name="ChannelDOCycleDuration_06" localSheetId="9">'DC Power Supply'!$R$67</definedName>
    <definedName name="ChannelDOCycleDuration_07" localSheetId="9">'DC Power Supply'!$R$76</definedName>
    <definedName name="ChannelDOCycleDuration_08" localSheetId="9">'DC Power Supply'!$R$85</definedName>
    <definedName name="ChannelDOCycleDuration_09" localSheetId="9">'DC Power Supply'!$R$94</definedName>
    <definedName name="ChannelDOOffDuration_06" localSheetId="9">'DC Power Supply'!$S$67</definedName>
    <definedName name="ChannelDOOffDuration_07" localSheetId="9">'DC Power Supply'!$S$76</definedName>
    <definedName name="ChannelDOOffDuration_08" localSheetId="9">'DC Power Supply'!$S$85</definedName>
    <definedName name="ChannelDOOffDuration_09" localSheetId="9">'DC Power Supply'!$S$94</definedName>
    <definedName name="ChannelDOSeed_06" localSheetId="9">'DC Power Supply'!$T$67</definedName>
    <definedName name="ChannelDOSeed_07" localSheetId="9">'DC Power Supply'!$T$76</definedName>
    <definedName name="ChannelDOSeed_08" localSheetId="9">'DC Power Supply'!$T$85</definedName>
    <definedName name="ChannelDOSeed_09" localSheetId="9">'DC Power Supply'!$T$94</definedName>
    <definedName name="ClockSource_01" localSheetId="4">'Foundation Bus'!$L$3</definedName>
    <definedName name="ControlDevice_01" localSheetId="10">FPGA_SquibEmulation!$L$4</definedName>
    <definedName name="ControlDevice_02" localSheetId="10">FPGA_SquibEmulation!$L$5</definedName>
    <definedName name="ControlDevice_03" localSheetId="10">FPGA_SquibEmulation!$L$6</definedName>
    <definedName name="ControlDevice_04" localSheetId="10">FPGA_SquibEmulation!$L$7</definedName>
    <definedName name="ControlDevice_05" localSheetId="10">FPGA_SquibEmulation!$L$8</definedName>
    <definedName name="ControlDevice_06" localSheetId="10">FPGA_SquibEmulation!$L$9</definedName>
    <definedName name="ControlDevice_07" localSheetId="10">FPGA_SquibEmulation!$L$10</definedName>
    <definedName name="ControlDevice_08" localSheetId="10">FPGA_SquibEmulation!$L$11</definedName>
    <definedName name="ControlPort_01" localSheetId="10">FPGA_SquibEmulation!$M$4</definedName>
    <definedName name="ControlPort_02" localSheetId="10">FPGA_SquibEmulation!$M$5</definedName>
    <definedName name="ControlPort_03" localSheetId="10">FPGA_SquibEmulation!$M$6</definedName>
    <definedName name="ControlPort_04" localSheetId="10">FPGA_SquibEmulation!$M$7</definedName>
    <definedName name="ControlPort_05" localSheetId="10">FPGA_SquibEmulation!$M$8</definedName>
    <definedName name="ControlPort_06" localSheetId="10">FPGA_SquibEmulation!$M$9</definedName>
    <definedName name="ControlPort_07" localSheetId="10">FPGA_SquibEmulation!$M$10</definedName>
    <definedName name="ControlPort_08" localSheetId="10">FPGA_SquibEmulation!$M$11</definedName>
    <definedName name="DDSClock_01" localSheetId="1">Synchronization!$M$3</definedName>
    <definedName name="DDSClock_02" localSheetId="1">Synchronization!$M$46</definedName>
    <definedName name="Description_01" localSheetId="8">ARB!$F$4</definedName>
    <definedName name="Description_01" localSheetId="9">'DC Power Supply'!$F$4</definedName>
    <definedName name="Description_01" localSheetId="2">Digitizer!$F$3</definedName>
    <definedName name="Description_01" localSheetId="7">DMM!$F$3</definedName>
    <definedName name="Description_01" localSheetId="14">Example!$D$3</definedName>
    <definedName name="Description_01" localSheetId="4">'Foundation Bus'!$F$3</definedName>
    <definedName name="Description_01" localSheetId="11">FPGA!$F$3</definedName>
    <definedName name="Description_01" localSheetId="13">Scope!$F$3</definedName>
    <definedName name="Description_01" localSheetId="6">SpaceWire!$F$4</definedName>
    <definedName name="Description_01" localSheetId="3">Switch!$F$3</definedName>
    <definedName name="Description_01" localSheetId="1">Synchronization!$F$3</definedName>
    <definedName name="Description_02" localSheetId="8">ARB!$F$14</definedName>
    <definedName name="Description_02" localSheetId="9">'DC Power Supply'!$F$16</definedName>
    <definedName name="Description_02" localSheetId="2">Digitizer!$F$19</definedName>
    <definedName name="Description_02" localSheetId="11">FPGA!$F$42</definedName>
    <definedName name="Description_02" localSheetId="13">Scope!$F$19</definedName>
    <definedName name="Description_02" localSheetId="6">SpaceWire!$F$17</definedName>
    <definedName name="Description_02" localSheetId="3">Switch!$F$21</definedName>
    <definedName name="Description_02" localSheetId="1">Synchronization!$F$46</definedName>
    <definedName name="Description_03" localSheetId="8">ARB!$F$24</definedName>
    <definedName name="Description_03" localSheetId="9">'DC Power Supply'!$F$28</definedName>
    <definedName name="Description_03" localSheetId="2">Digitizer!$F$35</definedName>
    <definedName name="Description_03" localSheetId="11">FPGA!$F$50</definedName>
    <definedName name="Description_03" localSheetId="13">Scope!$F$35</definedName>
    <definedName name="Description_04" localSheetId="9">'DC Power Supply'!$F$40</definedName>
    <definedName name="Description_04" localSheetId="2">Digitizer!$F$51</definedName>
    <definedName name="Description_04" localSheetId="13">Scope!$F$51</definedName>
    <definedName name="Description_05" localSheetId="9">'DC Power Supply'!$F$52</definedName>
    <definedName name="Description_05" localSheetId="2">Digitizer!$F$67</definedName>
    <definedName name="Description_05" localSheetId="13">Scope!$F$63</definedName>
    <definedName name="Description_06" localSheetId="9">'DC Power Supply'!$F$64</definedName>
    <definedName name="Description_06" localSheetId="2">Digitizer!$F$83</definedName>
    <definedName name="Description_06" localSheetId="11">'DC Power Supply'!$F$64</definedName>
    <definedName name="Description_06" localSheetId="13">Scope!$F$73</definedName>
    <definedName name="Description_07" localSheetId="9">'DC Power Supply'!$F$73</definedName>
    <definedName name="Description_07" localSheetId="2">Digitizer!$F$99</definedName>
    <definedName name="Description_07" localSheetId="13">Scope!$F$85</definedName>
    <definedName name="Description_08" localSheetId="9">'DC Power Supply'!$F$82</definedName>
    <definedName name="Description_08" localSheetId="2">Digitizer!$F$115</definedName>
    <definedName name="Description_09" localSheetId="9">'DC Power Supply'!$F$91</definedName>
    <definedName name="Description_09" localSheetId="2">Digitizer!$F$131</definedName>
    <definedName name="Description_10" localSheetId="2">Digitizer!$F$147</definedName>
    <definedName name="Description_11" localSheetId="2">Digitizer!$F$163</definedName>
    <definedName name="Description_12" localSheetId="2">Digitizer!$F$179</definedName>
    <definedName name="Description_13" localSheetId="2">Digitizer!$F$195</definedName>
    <definedName name="Description_14" localSheetId="2">Digitizer!$F$211</definedName>
    <definedName name="Description_15" localSheetId="2">Digitizer!$F$227</definedName>
    <definedName name="Description_16" localSheetId="2">Digitizer!#REF!</definedName>
    <definedName name="Description_17" localSheetId="2">Digitizer!#REF!</definedName>
    <definedName name="Description_18" localSheetId="2">Digitizer!#REF!</definedName>
    <definedName name="Description_19" localSheetId="2">Digitizer!#REF!</definedName>
    <definedName name="Description_20" localSheetId="2">Digitizer!#REF!</definedName>
    <definedName name="Description_21" localSheetId="2">Digitizer!#REF!</definedName>
    <definedName name="Description_22" localSheetId="2">Digitizer!#REF!</definedName>
    <definedName name="Description_23" localSheetId="2">Digitizer!#REF!</definedName>
    <definedName name="Description_24" localSheetId="2">Digitizer!#REF!</definedName>
    <definedName name="Description_25" localSheetId="2">Digitizer!#REF!</definedName>
    <definedName name="Description_26" localSheetId="2">Digitizer!#REF!</definedName>
    <definedName name="Description_27" localSheetId="2">Digitizer!#REF!</definedName>
    <definedName name="Description_28" localSheetId="2">Digitizer!#REF!</definedName>
    <definedName name="Description_29" localSheetId="2">Digitizer!#REF!</definedName>
    <definedName name="Description_30" localSheetId="2">Digitizer!#REF!</definedName>
    <definedName name="Description_31" localSheetId="2">Digitizer!#REF!</definedName>
    <definedName name="Description_32" localSheetId="2">Digitizer!#REF!</definedName>
    <definedName name="DestMod_01" localSheetId="5">'FBUS Message(s)'!$D$2</definedName>
    <definedName name="DestMod_02" localSheetId="5">'FBUS Message(s)'!$K$2</definedName>
    <definedName name="DestObject_01" localSheetId="5">'FBUS Message(s)'!$E$2</definedName>
    <definedName name="DestObject_02" localSheetId="5">'FBUS Message(s)'!$L$2</definedName>
    <definedName name="DeviceAddress_01" localSheetId="8">ARB!$D$4</definedName>
    <definedName name="DeviceAddress_01" localSheetId="9">'DC Power Supply'!$D$4</definedName>
    <definedName name="DeviceAddress_01" localSheetId="2">Digitizer!$D$3</definedName>
    <definedName name="DeviceAddress_01" localSheetId="7">DMM!$D$3</definedName>
    <definedName name="DeviceAddress_01" localSheetId="4">'Foundation Bus'!$D$3</definedName>
    <definedName name="DeviceAddress_01" localSheetId="11">FPGA!$D$3</definedName>
    <definedName name="DeviceAddress_01" localSheetId="13">Scope!$D$3</definedName>
    <definedName name="DeviceAddress_01" localSheetId="6">SpaceWire!$D$4</definedName>
    <definedName name="DeviceAddress_01" localSheetId="3">Switch!$D$3</definedName>
    <definedName name="DeviceAddress_01" localSheetId="1">Synchronization!$D$3</definedName>
    <definedName name="DeviceAddress_02" localSheetId="8">ARB!$D$14</definedName>
    <definedName name="DeviceAddress_02" localSheetId="9">'DC Power Supply'!$D$16</definedName>
    <definedName name="DeviceAddress_02" localSheetId="2">Digitizer!$D$19</definedName>
    <definedName name="DeviceAddress_02" localSheetId="11">FPGA!$D$42</definedName>
    <definedName name="DeviceAddress_02" localSheetId="13">Scope!$D$19</definedName>
    <definedName name="DeviceAddress_02" localSheetId="6">SpaceWire!$D$17</definedName>
    <definedName name="DeviceAddress_02" localSheetId="3">Switch!$D$21</definedName>
    <definedName name="DeviceAddress_02" localSheetId="1">Synchronization!$D$46</definedName>
    <definedName name="DeviceAddress_03" localSheetId="8">ARB!$D$24</definedName>
    <definedName name="DeviceAddress_03" localSheetId="9">'DC Power Supply'!$D$28</definedName>
    <definedName name="DeviceAddress_03" localSheetId="2">Digitizer!$D$35</definedName>
    <definedName name="DeviceAddress_03" localSheetId="11">FPGA!$D$50</definedName>
    <definedName name="DeviceAddress_03" localSheetId="13">Scope!$D$35</definedName>
    <definedName name="DeviceAddress_04" localSheetId="9">'DC Power Supply'!$D$40</definedName>
    <definedName name="DeviceAddress_04" localSheetId="2">Digitizer!$D$51</definedName>
    <definedName name="DeviceAddress_04" localSheetId="13">Scope!$D$51</definedName>
    <definedName name="DeviceAddress_05" localSheetId="9">'DC Power Supply'!$D$52</definedName>
    <definedName name="DeviceAddress_05" localSheetId="2">Digitizer!$D$67</definedName>
    <definedName name="DeviceAddress_05" localSheetId="13">Scope!$D$63</definedName>
    <definedName name="DeviceAddress_06" localSheetId="9">'DC Power Supply'!$D$64</definedName>
    <definedName name="DeviceAddress_06" localSheetId="2">Digitizer!$D$83</definedName>
    <definedName name="DeviceAddress_06" localSheetId="13">Scope!$D$73</definedName>
    <definedName name="DeviceAddress_07" localSheetId="9">'DC Power Supply'!$D$73</definedName>
    <definedName name="DeviceAddress_07" localSheetId="2">Digitizer!$D$99</definedName>
    <definedName name="DeviceAddress_07" localSheetId="13">Scope!$D$85</definedName>
    <definedName name="DeviceAddress_08" localSheetId="9">'DC Power Supply'!$D$82</definedName>
    <definedName name="DeviceAddress_08" localSheetId="2">Digitizer!$D$115</definedName>
    <definedName name="DeviceAddress_09" localSheetId="9">'DC Power Supply'!$D$91</definedName>
    <definedName name="DeviceAddress_09" localSheetId="2">Digitizer!$D$131</definedName>
    <definedName name="DeviceAddress_10" localSheetId="2">Digitizer!$D$147</definedName>
    <definedName name="DeviceAddress_11" localSheetId="2">Digitizer!$D$163</definedName>
    <definedName name="DeviceAddress_12" localSheetId="2">Digitizer!$D$179</definedName>
    <definedName name="DeviceAddress_13" localSheetId="2">Digitizer!$D$195</definedName>
    <definedName name="DeviceAddress_14" localSheetId="2">Digitizer!$D$211</definedName>
    <definedName name="DeviceAddress_15" localSheetId="2">Digitizer!$D$227</definedName>
    <definedName name="DeviceAddress_16" localSheetId="2">Digitizer!#REF!</definedName>
    <definedName name="DeviceAddress_17" localSheetId="2">Digitizer!#REF!</definedName>
    <definedName name="DeviceAddress_18" localSheetId="2">Digitizer!#REF!</definedName>
    <definedName name="DeviceAddress_19" localSheetId="2">Digitizer!#REF!</definedName>
    <definedName name="DeviceAddress_20" localSheetId="2">Digitizer!#REF!</definedName>
    <definedName name="DeviceAddress_21" localSheetId="2">Digitizer!#REF!</definedName>
    <definedName name="DeviceAddress_22" localSheetId="2">Digitizer!#REF!</definedName>
    <definedName name="DeviceAddress_23" localSheetId="2">Digitizer!#REF!</definedName>
    <definedName name="DeviceAddress_24" localSheetId="2">Digitizer!#REF!</definedName>
    <definedName name="DeviceAddress_25" localSheetId="2">Digitizer!#REF!</definedName>
    <definedName name="DeviceAddress_26" localSheetId="2">Digitizer!#REF!</definedName>
    <definedName name="DeviceAddress_27" localSheetId="2">Digitizer!#REF!</definedName>
    <definedName name="DeviceAddress_28" localSheetId="2">Digitizer!#REF!</definedName>
    <definedName name="DeviceAddress_29" localSheetId="2">Digitizer!#REF!</definedName>
    <definedName name="DeviceAddress_30" localSheetId="2">Digitizer!#REF!</definedName>
    <definedName name="DeviceAddress_31" localSheetId="2">Digitizer!#REF!</definedName>
    <definedName name="DeviceAddress_32" localSheetId="2">Digitizer!#REF!</definedName>
    <definedName name="Duration_01" localSheetId="10">FPGA_SquibEmulation!$D$4</definedName>
    <definedName name="Duration_02" localSheetId="10">FPGA_SquibEmulation!$D$5</definedName>
    <definedName name="Duration_03" localSheetId="10">FPGA_SquibEmulation!$D$6</definedName>
    <definedName name="Duration_04" localSheetId="10">FPGA_SquibEmulation!$D$7</definedName>
    <definedName name="Duration_05" localSheetId="10">FPGA_SquibEmulation!$D$8</definedName>
    <definedName name="Duration_06" localSheetId="10">FPGA_SquibEmulation!$D$9</definedName>
    <definedName name="Duration_07" localSheetId="10">FPGA_SquibEmulation!$D$10</definedName>
    <definedName name="Duration_08" localSheetId="10">FPGA_SquibEmulation!$D$11</definedName>
    <definedName name="Duration_09" localSheetId="10">FPGA_SquibEmulation!#REF!</definedName>
    <definedName name="Duration_10" localSheetId="10">FPGA_SquibEmulation!#REF!</definedName>
    <definedName name="Duration_11" localSheetId="10">FPGA_SquibEmulation!#REF!</definedName>
    <definedName name="Duration2_01" localSheetId="10">FPGA_SquibEmulation!$F$4</definedName>
    <definedName name="Duration2_02" localSheetId="10">FPGA_SquibEmulation!$F$5</definedName>
    <definedName name="Duration2_03" localSheetId="10">FPGA_SquibEmulation!$F$6</definedName>
    <definedName name="Duration2_04" localSheetId="10">FPGA_SquibEmulation!$F$7</definedName>
    <definedName name="Duration2_05" localSheetId="10">FPGA_SquibEmulation!$F$8</definedName>
    <definedName name="Duration2_06" localSheetId="10">FPGA_SquibEmulation!$F$9</definedName>
    <definedName name="Duration2_07" localSheetId="10">FPGA_SquibEmulation!$F$10</definedName>
    <definedName name="Duration2_08" localSheetId="10">FPGA_SquibEmulation!$F$11</definedName>
    <definedName name="Enabled_01" localSheetId="8">ARB!$G$4</definedName>
    <definedName name="Enabled_01" localSheetId="9">'DC Power Supply'!$G$4</definedName>
    <definedName name="Enabled_01" localSheetId="2">Digitizer!$G$3</definedName>
    <definedName name="Enabled_01" localSheetId="7">DMM!$G$3</definedName>
    <definedName name="Enabled_01" localSheetId="14">Example!$E$3</definedName>
    <definedName name="Enabled_01" localSheetId="4">'Foundation Bus'!$G$3</definedName>
    <definedName name="Enabled_01" localSheetId="11">FPGA!$G$3</definedName>
    <definedName name="Enabled_01" localSheetId="13">Scope!$G$3</definedName>
    <definedName name="Enabled_01" localSheetId="6">SpaceWire!$G$4</definedName>
    <definedName name="Enabled_01" localSheetId="3">Switch!$G$3</definedName>
    <definedName name="Enabled_01" localSheetId="1">Synchronization!$G$3</definedName>
    <definedName name="Enabled_02" localSheetId="8">ARB!$G$14</definedName>
    <definedName name="Enabled_02" localSheetId="9">'DC Power Supply'!$G$16</definedName>
    <definedName name="Enabled_02" localSheetId="2">Digitizer!$G$19</definedName>
    <definedName name="Enabled_02" localSheetId="11">FPGA!$G$42</definedName>
    <definedName name="Enabled_02" localSheetId="13">Scope!$G$19</definedName>
    <definedName name="Enabled_02" localSheetId="6">SpaceWire!$G$17</definedName>
    <definedName name="Enabled_02" localSheetId="3">Switch!$G$21</definedName>
    <definedName name="Enabled_02" localSheetId="1">Synchronization!$G$46</definedName>
    <definedName name="Enabled_03" localSheetId="8">ARB!$G$24</definedName>
    <definedName name="Enabled_03" localSheetId="9">'DC Power Supply'!$G$28</definedName>
    <definedName name="Enabled_03" localSheetId="2">Digitizer!$G$35</definedName>
    <definedName name="Enabled_03" localSheetId="11">FPGA!$G$50</definedName>
    <definedName name="Enabled_03" localSheetId="13">Scope!$G$35</definedName>
    <definedName name="Enabled_04" localSheetId="9">'DC Power Supply'!$G$40</definedName>
    <definedName name="Enabled_04" localSheetId="2">Digitizer!$G$51</definedName>
    <definedName name="Enabled_04" localSheetId="13">Scope!$G$51</definedName>
    <definedName name="Enabled_05" localSheetId="9">'DC Power Supply'!$G$52</definedName>
    <definedName name="Enabled_05" localSheetId="2">Digitizer!$G$67</definedName>
    <definedName name="Enabled_05" localSheetId="13">Scope!$G$63</definedName>
    <definedName name="Enabled_06" localSheetId="9">'DC Power Supply'!$G$64</definedName>
    <definedName name="Enabled_06" localSheetId="2">Digitizer!$G$83</definedName>
    <definedName name="Enabled_06" localSheetId="13">Scope!$G$73</definedName>
    <definedName name="Enabled_07" localSheetId="9">'DC Power Supply'!$G$73</definedName>
    <definedName name="Enabled_07" localSheetId="2">Digitizer!$G$99</definedName>
    <definedName name="Enabled_07" localSheetId="13">Scope!$G$85</definedName>
    <definedName name="Enabled_08" localSheetId="9">'DC Power Supply'!$G$82</definedName>
    <definedName name="Enabled_08" localSheetId="2">Digitizer!$G$115</definedName>
    <definedName name="Enabled_09" localSheetId="9">'DC Power Supply'!$G$91</definedName>
    <definedName name="Enabled_09" localSheetId="2">Digitizer!$G$131</definedName>
    <definedName name="Enabled_10" localSheetId="2">Digitizer!$G$147</definedName>
    <definedName name="Enabled_11" localSheetId="2">Digitizer!$G$163</definedName>
    <definedName name="Enabled_12" localSheetId="2">Digitizer!$G$179</definedName>
    <definedName name="Enabled_13" localSheetId="2">Digitizer!$G$195</definedName>
    <definedName name="Enabled_14" localSheetId="2">Digitizer!$G$211</definedName>
    <definedName name="Enabled_15" localSheetId="2">Digitizer!$G$227</definedName>
    <definedName name="Enabled_16" localSheetId="2">Digitizer!#REF!</definedName>
    <definedName name="Enabled_17" localSheetId="2">Digitizer!#REF!</definedName>
    <definedName name="Enabled_18" localSheetId="2">Digitizer!#REF!</definedName>
    <definedName name="Enabled_19" localSheetId="2">Digitizer!#REF!</definedName>
    <definedName name="Enabled_20" localSheetId="2">Digitizer!#REF!</definedName>
    <definedName name="Enabled_21" localSheetId="2">Digitizer!#REF!</definedName>
    <definedName name="Enabled_22" localSheetId="2">Digitizer!#REF!</definedName>
    <definedName name="Enabled_23" localSheetId="2">Digitizer!#REF!</definedName>
    <definedName name="Enabled_24" localSheetId="2">Digitizer!#REF!</definedName>
    <definedName name="Enabled_25" localSheetId="2">Digitizer!#REF!</definedName>
    <definedName name="Enabled_26" localSheetId="2">Digitizer!#REF!</definedName>
    <definedName name="Enabled_27" localSheetId="2">Digitizer!#REF!</definedName>
    <definedName name="Enabled_28" localSheetId="2">Digitizer!#REF!</definedName>
    <definedName name="Enabled_29" localSheetId="2">Digitizer!#REF!</definedName>
    <definedName name="Enabled_30" localSheetId="2">Digitizer!#REF!</definedName>
    <definedName name="Enabled_31" localSheetId="2">Digitizer!#REF!</definedName>
    <definedName name="Enabled_32" localSheetId="2">Digitizer!#REF!</definedName>
    <definedName name="EndResistor00Enabled_01" localSheetId="10">FPGA_SquibEmulation!$AL$4</definedName>
    <definedName name="EndResistor00Enabled_02" localSheetId="10">FPGA_SquibEmulation!$AL$5</definedName>
    <definedName name="EndResistor00Enabled_03" localSheetId="10">FPGA_SquibEmulation!$AL$6</definedName>
    <definedName name="EndResistor00Enabled_04" localSheetId="10">FPGA_SquibEmulation!$AL$7</definedName>
    <definedName name="EndResistor00Enabled_05" localSheetId="10">FPGA_SquibEmulation!$AL$8</definedName>
    <definedName name="EndResistor00Enabled_06" localSheetId="10">FPGA_SquibEmulation!$AL$9</definedName>
    <definedName name="EndResistor00Enabled_07" localSheetId="10">FPGA_SquibEmulation!$AL$10</definedName>
    <definedName name="EndResistor00Enabled_08" localSheetId="10">FPGA_SquibEmulation!$AL$11</definedName>
    <definedName name="EndResistor01Enabled_01" localSheetId="10">FPGA_SquibEmulation!$AM$4</definedName>
    <definedName name="EndResistor01Enabled_02" localSheetId="10">FPGA_SquibEmulation!$AM$5</definedName>
    <definedName name="EndResistor01Enabled_03" localSheetId="10">FPGA_SquibEmulation!$AM$6</definedName>
    <definedName name="EndResistor01Enabled_04" localSheetId="10">FPGA_SquibEmulation!$AM$7</definedName>
    <definedName name="EndResistor01Enabled_05" localSheetId="10">FPGA_SquibEmulation!$AM$8</definedName>
    <definedName name="EndResistor01Enabled_06" localSheetId="10">FPGA_SquibEmulation!$AM$9</definedName>
    <definedName name="EndResistor01Enabled_07" localSheetId="10">FPGA_SquibEmulation!$AM$10</definedName>
    <definedName name="EndResistor01Enabled_08" localSheetId="10">FPGA_SquibEmulation!$AM$11</definedName>
    <definedName name="EndResistor02Enabled_01" localSheetId="10">FPGA_SquibEmulation!$AN$4</definedName>
    <definedName name="EndResistor02Enabled_02" localSheetId="10">FPGA_SquibEmulation!$AN$5</definedName>
    <definedName name="EndResistor02Enabled_03" localSheetId="10">FPGA_SquibEmulation!$AN$6</definedName>
    <definedName name="EndResistor02Enabled_04" localSheetId="10">FPGA_SquibEmulation!$AN$7</definedName>
    <definedName name="EndResistor02Enabled_05" localSheetId="10">FPGA_SquibEmulation!$AN$8</definedName>
    <definedName name="EndResistor02Enabled_06" localSheetId="10">FPGA_SquibEmulation!$AN$9</definedName>
    <definedName name="EndResistor02Enabled_07" localSheetId="10">FPGA_SquibEmulation!$AN$10</definedName>
    <definedName name="EndResistor02Enabled_08" localSheetId="10">FPGA_SquibEmulation!$AN$11</definedName>
    <definedName name="EndResistor03Enabled_01" localSheetId="10">FPGA_SquibEmulation!$AO$4</definedName>
    <definedName name="EndResistor03Enabled_02" localSheetId="10">FPGA_SquibEmulation!$AO$5</definedName>
    <definedName name="EndResistor03Enabled_03" localSheetId="10">FPGA_SquibEmulation!$AO$6</definedName>
    <definedName name="EndResistor03Enabled_04" localSheetId="10">FPGA_SquibEmulation!$AO$7</definedName>
    <definedName name="EndResistor03Enabled_05" localSheetId="10">FPGA_SquibEmulation!$AO$8</definedName>
    <definedName name="EndResistor03Enabled_06" localSheetId="10">FPGA_SquibEmulation!$AO$9</definedName>
    <definedName name="EndResistor03Enabled_07" localSheetId="10">FPGA_SquibEmulation!$AO$10</definedName>
    <definedName name="EndResistor03Enabled_08" localSheetId="10">FPGA_SquibEmulation!$AO$11</definedName>
    <definedName name="EndResistor04Enabled_01" localSheetId="10">FPGA_SquibEmulation!$AP$4</definedName>
    <definedName name="EndResistor04Enabled_02" localSheetId="10">FPGA_SquibEmulation!$AP$5</definedName>
    <definedName name="EndResistor04Enabled_03" localSheetId="10">FPGA_SquibEmulation!$AP$6</definedName>
    <definedName name="EndResistor04Enabled_04" localSheetId="10">FPGA_SquibEmulation!$AP$7</definedName>
    <definedName name="EndResistor04Enabled_05" localSheetId="10">FPGA_SquibEmulation!$AP$8</definedName>
    <definedName name="EndResistor04Enabled_06" localSheetId="10">FPGA_SquibEmulation!$AP$9</definedName>
    <definedName name="EndResistor04Enabled_07" localSheetId="10">FPGA_SquibEmulation!$AP$10</definedName>
    <definedName name="EndResistor04Enabled_08" localSheetId="10">FPGA_SquibEmulation!$AP$11</definedName>
    <definedName name="EndResistor05Enabled_01" localSheetId="10">FPGA_SquibEmulation!$AQ$4</definedName>
    <definedName name="EndResistor05Enabled_02" localSheetId="10">FPGA_SquibEmulation!$AQ$5</definedName>
    <definedName name="EndResistor05Enabled_03" localSheetId="10">FPGA_SquibEmulation!$AQ$6</definedName>
    <definedName name="EndResistor05Enabled_04" localSheetId="10">FPGA_SquibEmulation!$AQ$7</definedName>
    <definedName name="EndResistor05Enabled_05" localSheetId="10">FPGA_SquibEmulation!$AQ$8</definedName>
    <definedName name="EndResistor05Enabled_06" localSheetId="10">FPGA_SquibEmulation!$AQ$9</definedName>
    <definedName name="EndResistor05Enabled_07" localSheetId="10">FPGA_SquibEmulation!$AQ$10</definedName>
    <definedName name="EndResistor05Enabled_08" localSheetId="10">FPGA_SquibEmulation!$AQ$11</definedName>
    <definedName name="EndResistor06Enabled_01" localSheetId="10">FPGA_SquibEmulation!$AR$4</definedName>
    <definedName name="EndResistor06Enabled_02" localSheetId="10">FPGA_SquibEmulation!$AR$5</definedName>
    <definedName name="EndResistor06Enabled_03" localSheetId="10">FPGA_SquibEmulation!$AR$6</definedName>
    <definedName name="EndResistor06Enabled_04" localSheetId="10">FPGA_SquibEmulation!$AR$7</definedName>
    <definedName name="EndResistor06Enabled_05" localSheetId="10">FPGA_SquibEmulation!$AR$8</definedName>
    <definedName name="EndResistor06Enabled_06" localSheetId="10">FPGA_SquibEmulation!$AR$9</definedName>
    <definedName name="EndResistor06Enabled_07" localSheetId="10">FPGA_SquibEmulation!$AR$10</definedName>
    <definedName name="EndResistor06Enabled_08" localSheetId="10">FPGA_SquibEmulation!$AR$11</definedName>
    <definedName name="EndResistor07Enabled_01" localSheetId="10">FPGA_SquibEmulation!$AS$4</definedName>
    <definedName name="EndResistor07Enabled_02" localSheetId="10">FPGA_SquibEmulation!$AS$5</definedName>
    <definedName name="EndResistor07Enabled_03" localSheetId="10">FPGA_SquibEmulation!$AS$6</definedName>
    <definedName name="EndResistor07Enabled_04" localSheetId="10">FPGA_SquibEmulation!$AS$7</definedName>
    <definedName name="EndResistor07Enabled_05" localSheetId="10">FPGA_SquibEmulation!$AS$8</definedName>
    <definedName name="EndResistor07Enabled_06" localSheetId="10">FPGA_SquibEmulation!$AS$9</definedName>
    <definedName name="EndResistor07Enabled_07" localSheetId="10">FPGA_SquibEmulation!$AS$10</definedName>
    <definedName name="EndResistor07Enabled_08" localSheetId="10">FPGA_SquibEmulation!$AS$11</definedName>
    <definedName name="EngineIP_01" localSheetId="8">ARB!$B$4</definedName>
    <definedName name="EngineIP_01" localSheetId="9">'DC Power Supply'!$B$4</definedName>
    <definedName name="EngineIP_01" localSheetId="2">Digitizer!$B$3</definedName>
    <definedName name="EngineIP_01" localSheetId="7">DMM!$B$3</definedName>
    <definedName name="EngineIP_01" localSheetId="4">'Foundation Bus'!$B$3</definedName>
    <definedName name="EngineIP_01" localSheetId="11">FPGA!$B$3</definedName>
    <definedName name="EngineIP_01" localSheetId="13">Scope!$B$3</definedName>
    <definedName name="EngineIP_01" localSheetId="6">SpaceWire!$B$4</definedName>
    <definedName name="EngineIP_01" localSheetId="3">Switch!$B$3</definedName>
    <definedName name="EngineIP_01" localSheetId="1">Synchronization!$B$3</definedName>
    <definedName name="EngineIP_02" localSheetId="8">ARB!$B$14</definedName>
    <definedName name="EngineIP_02" localSheetId="9">'DC Power Supply'!$B$16</definedName>
    <definedName name="EngineIP_02" localSheetId="2">Digitizer!$B$19</definedName>
    <definedName name="EngineIP_02" localSheetId="11">FPGA!$B$42</definedName>
    <definedName name="EngineIP_02" localSheetId="13">Scope!$B$19</definedName>
    <definedName name="EngineIP_02" localSheetId="6">SpaceWire!$B$17</definedName>
    <definedName name="EngineIP_02" localSheetId="3">Switch!$B$21</definedName>
    <definedName name="EngineIP_02" localSheetId="1">Synchronization!$B$46</definedName>
    <definedName name="EngineIP_03" localSheetId="8">ARB!$B$24</definedName>
    <definedName name="EngineIP_03" localSheetId="9">'DC Power Supply'!$B$28</definedName>
    <definedName name="EngineIP_03" localSheetId="2">Digitizer!$B$35</definedName>
    <definedName name="EngineIP_03" localSheetId="11">FPGA!$B$50</definedName>
    <definedName name="EngineIP_03" localSheetId="13">Scope!$B$35</definedName>
    <definedName name="EngineIP_04" localSheetId="9">'DC Power Supply'!$B$40</definedName>
    <definedName name="EngineIP_04" localSheetId="2">Digitizer!$B$51</definedName>
    <definedName name="EngineIP_04" localSheetId="13">Scope!$B$51</definedName>
    <definedName name="EngineIP_05" localSheetId="9">'DC Power Supply'!$B$52</definedName>
    <definedName name="EngineIP_05" localSheetId="2">Digitizer!$B$67</definedName>
    <definedName name="EngineIP_05" localSheetId="13">Scope!$B$63</definedName>
    <definedName name="EngineIP_06" localSheetId="9">'DC Power Supply'!$B$64</definedName>
    <definedName name="EngineIP_06" localSheetId="2">Digitizer!$B$83</definedName>
    <definedName name="EngineIP_06" localSheetId="13">Scope!$B$73</definedName>
    <definedName name="EngineIP_07" localSheetId="9">'DC Power Supply'!$B$73</definedName>
    <definedName name="EngineIP_07" localSheetId="2">Digitizer!$B$99</definedName>
    <definedName name="EngineIP_07" localSheetId="13">Scope!$B$85</definedName>
    <definedName name="EngineIP_08" localSheetId="9">'DC Power Supply'!$B$82</definedName>
    <definedName name="EngineIP_08" localSheetId="2">Digitizer!$B$115</definedName>
    <definedName name="EngineIP_09" localSheetId="9">'DC Power Supply'!$B$91</definedName>
    <definedName name="EngineIP_09" localSheetId="2">Digitizer!$B$131</definedName>
    <definedName name="EngineIP_10" localSheetId="2">Digitizer!$B$147</definedName>
    <definedName name="EngineIP_11" localSheetId="2">Digitizer!$B$163</definedName>
    <definedName name="EngineIP_12" localSheetId="2">Digitizer!$B$179</definedName>
    <definedName name="EngineIP_13" localSheetId="2">Digitizer!$B$195</definedName>
    <definedName name="EngineIP_14" localSheetId="2">Digitizer!$B$211</definedName>
    <definedName name="EngineIP_15" localSheetId="2">Digitizer!$B$227</definedName>
    <definedName name="EngineIP_16" localSheetId="2">Digitizer!#REF!</definedName>
    <definedName name="EngineIP_17" localSheetId="2">Digitizer!#REF!</definedName>
    <definedName name="EngineIP_18" localSheetId="2">Digitizer!#REF!</definedName>
    <definedName name="EngineIP_19" localSheetId="2">Digitizer!#REF!</definedName>
    <definedName name="EngineIP_20" localSheetId="2">Digitizer!#REF!</definedName>
    <definedName name="EngineIP_21" localSheetId="2">Digitizer!#REF!</definedName>
    <definedName name="EngineIP_22" localSheetId="2">Digitizer!#REF!</definedName>
    <definedName name="EngineIP_23" localSheetId="2">Digitizer!#REF!</definedName>
    <definedName name="EngineIP_24" localSheetId="2">Digitizer!#REF!</definedName>
    <definedName name="EngineIP_25" localSheetId="2">Digitizer!#REF!</definedName>
    <definedName name="EngineIP_26" localSheetId="2">Digitizer!#REF!</definedName>
    <definedName name="EngineIP_27" localSheetId="2">Digitizer!#REF!</definedName>
    <definedName name="EngineIP_28" localSheetId="2">Digitizer!#REF!</definedName>
    <definedName name="EngineIP_29" localSheetId="2">Digitizer!#REF!</definedName>
    <definedName name="EngineIP_30" localSheetId="2">Digitizer!#REF!</definedName>
    <definedName name="EngineIP_31" localSheetId="2">Digitizer!#REF!</definedName>
    <definedName name="EngineIP_32" localSheetId="2">Digitizer!#REF!</definedName>
    <definedName name="EnginePort_01" localSheetId="8">ARB!$C$4</definedName>
    <definedName name="EnginePort_01" localSheetId="9">'DC Power Supply'!$C$4</definedName>
    <definedName name="EnginePort_01" localSheetId="2">Digitizer!$C$3</definedName>
    <definedName name="EnginePort_01" localSheetId="7">DMM!$C$3</definedName>
    <definedName name="EnginePort_01" localSheetId="4">'Foundation Bus'!$C$3</definedName>
    <definedName name="EnginePort_01" localSheetId="11">FPGA!$C$3</definedName>
    <definedName name="EnginePort_01" localSheetId="13">Scope!$C$3</definedName>
    <definedName name="EnginePort_01" localSheetId="3">Switch!$C$3</definedName>
    <definedName name="EnginePort_01" localSheetId="1">Synchronization!$C$3</definedName>
    <definedName name="EnginePort_02" localSheetId="8">ARB!$C$14</definedName>
    <definedName name="EnginePort_02" localSheetId="9">'DC Power Supply'!$C$16</definedName>
    <definedName name="EnginePort_02" localSheetId="2">Digitizer!$C$19</definedName>
    <definedName name="EnginePort_02" localSheetId="11">FPGA!$C$42</definedName>
    <definedName name="EnginePort_02" localSheetId="13">Scope!$C$19</definedName>
    <definedName name="EnginePort_02" localSheetId="3">Switch!$C$21</definedName>
    <definedName name="EnginePort_02" localSheetId="1">Synchronization!$C$46</definedName>
    <definedName name="EnginePort_03" localSheetId="8">ARB!$C$24</definedName>
    <definedName name="EnginePort_03" localSheetId="9">'DC Power Supply'!$C$28</definedName>
    <definedName name="EnginePort_03" localSheetId="2">Digitizer!$C$35</definedName>
    <definedName name="EnginePort_03" localSheetId="11">FPGA!$C$50</definedName>
    <definedName name="EnginePort_03" localSheetId="13">Scope!$C$35</definedName>
    <definedName name="EnginePort_04" localSheetId="9">'DC Power Supply'!$C$40</definedName>
    <definedName name="EnginePort_04" localSheetId="2">Digitizer!$C$51</definedName>
    <definedName name="EnginePort_04" localSheetId="13">Scope!$C$51</definedName>
    <definedName name="EnginePort_05" localSheetId="9">'DC Power Supply'!$C$52</definedName>
    <definedName name="EnginePort_05" localSheetId="2">Digitizer!$C$67</definedName>
    <definedName name="EnginePort_05" localSheetId="13">Scope!$C$63</definedName>
    <definedName name="EnginePort_06" localSheetId="9">'DC Power Supply'!$C$64</definedName>
    <definedName name="EnginePort_06" localSheetId="2">Digitizer!$C$83</definedName>
    <definedName name="EnginePort_06" localSheetId="13">Scope!$C$73</definedName>
    <definedName name="EnginePort_07" localSheetId="9">'DC Power Supply'!$C$73</definedName>
    <definedName name="EnginePort_07" localSheetId="2">Digitizer!$C$99</definedName>
    <definedName name="EnginePort_07" localSheetId="13">Scope!$C$85</definedName>
    <definedName name="EnginePort_08" localSheetId="9">'DC Power Supply'!$C$82</definedName>
    <definedName name="EnginePort_08" localSheetId="2">Digitizer!$C$115</definedName>
    <definedName name="EnginePort_09" localSheetId="9">'DC Power Supply'!$C$91</definedName>
    <definedName name="EnginePort_09" localSheetId="2">Digitizer!$C$131</definedName>
    <definedName name="EnginePort_10" localSheetId="2">Digitizer!$C$147</definedName>
    <definedName name="EnginePort_11" localSheetId="2">Digitizer!$C$163</definedName>
    <definedName name="EnginePort_12" localSheetId="2">Digitizer!$C$179</definedName>
    <definedName name="EnginePort_13" localSheetId="2">Digitizer!$C$195</definedName>
    <definedName name="EnginePort_14" localSheetId="2">Digitizer!$C$211</definedName>
    <definedName name="EnginePort_15" localSheetId="2">Digitizer!$C$227</definedName>
    <definedName name="EnginePort_16" localSheetId="2">Digitizer!#REF!</definedName>
    <definedName name="EnginePort_17" localSheetId="2">Digitizer!#REF!</definedName>
    <definedName name="EnginePort_18" localSheetId="2">Digitizer!#REF!</definedName>
    <definedName name="EnginePort_19" localSheetId="2">Digitizer!#REF!</definedName>
    <definedName name="EnginePort_20" localSheetId="2">Digitizer!#REF!</definedName>
    <definedName name="EnginePort_21" localSheetId="2">Digitizer!#REF!</definedName>
    <definedName name="EnginePort_22" localSheetId="2">Digitizer!#REF!</definedName>
    <definedName name="EnginePort_23" localSheetId="2">Digitizer!#REF!</definedName>
    <definedName name="EnginePort_24" localSheetId="2">Digitizer!#REF!</definedName>
    <definedName name="EnginePort_25" localSheetId="2">Digitizer!#REF!</definedName>
    <definedName name="EnginePort_26" localSheetId="2">Digitizer!#REF!</definedName>
    <definedName name="EnginePort_27" localSheetId="2">Digitizer!#REF!</definedName>
    <definedName name="EnginePort_28" localSheetId="2">Digitizer!#REF!</definedName>
    <definedName name="EnginePort_29" localSheetId="2">Digitizer!#REF!</definedName>
    <definedName name="EnginePort_30" localSheetId="2">Digitizer!#REF!</definedName>
    <definedName name="EnginePort_31" localSheetId="2">Digitizer!#REF!</definedName>
    <definedName name="EnginePort_32" localSheetId="2">Digitizer!#REF!</definedName>
    <definedName name="FBUS_TXMessage_01" localSheetId="5">'FBUS Message(s)'!$B$1</definedName>
    <definedName name="FBUS_TXMessage_02" localSheetId="5">'FBUS Message(s)'!$I$1</definedName>
    <definedName name="Impedance_01" comment="Output impedance of AWG" localSheetId="8">ARB!$N$4</definedName>
    <definedName name="InputAlias_01" localSheetId="10">FPGA_SquibEmulation!$A$4</definedName>
    <definedName name="InputAlias_02" localSheetId="10">FPGA_SquibEmulation!$A$5</definedName>
    <definedName name="InputAlias_03" localSheetId="10">FPGA_SquibEmulation!$A$6</definedName>
    <definedName name="InputAlias_04" localSheetId="10">FPGA_SquibEmulation!$A$7</definedName>
    <definedName name="InputAlias_05" localSheetId="10">FPGA_SquibEmulation!$A$8</definedName>
    <definedName name="InputAlias_06" localSheetId="10">FPGA_SquibEmulation!$A$9</definedName>
    <definedName name="InputAlias_07" localSheetId="10">FPGA_SquibEmulation!$A$10</definedName>
    <definedName name="InputAlias_08" localSheetId="10">FPGA_SquibEmulation!$A$11</definedName>
    <definedName name="InputAlias_09" localSheetId="10">FPGA_SquibEmulation!#REF!</definedName>
    <definedName name="InputAlias_10" localSheetId="10">FPGA_SquibEmulation!#REF!</definedName>
    <definedName name="InputAlias_11" localSheetId="10">FPGA_SquibEmulation!#REF!</definedName>
    <definedName name="Keysight_PS5" localSheetId="9">'DC Power Supply'!$F$4</definedName>
    <definedName name="LastModDate" localSheetId="0">Version!$B$3</definedName>
    <definedName name="LastModName" localSheetId="0">Version!$B$2</definedName>
    <definedName name="LastModNotes" localSheetId="0">Version!$B$4</definedName>
    <definedName name="localhost" localSheetId="9">'DC Power Supply'!$B$4</definedName>
    <definedName name="MaxV_01" localSheetId="2">Digitizer!#REF!</definedName>
    <definedName name="MaxV_02" localSheetId="2">Digitizer!#REF!</definedName>
    <definedName name="MaxV_03" localSheetId="2">Digitizer!#REF!</definedName>
    <definedName name="MaxV_04" localSheetId="2">Digitizer!#REF!</definedName>
    <definedName name="MaxV_05" localSheetId="2">Digitizer!#REF!</definedName>
    <definedName name="MaxV_06" localSheetId="2">Digitizer!#REF!</definedName>
    <definedName name="MaxV_07" localSheetId="2">Digitizer!#REF!</definedName>
    <definedName name="MaxV_08" localSheetId="2">Digitizer!#REF!</definedName>
    <definedName name="MaxV_09" localSheetId="2">Digitizer!#REF!</definedName>
    <definedName name="MaxV_10" localSheetId="2">Digitizer!#REF!</definedName>
    <definedName name="MaxV_11" localSheetId="2">Digitizer!#REF!</definedName>
    <definedName name="MaxV_12" localSheetId="2">Digitizer!#REF!</definedName>
    <definedName name="MaxV_13" localSheetId="2">Digitizer!#REF!</definedName>
    <definedName name="MaxV_14" localSheetId="2">Digitizer!#REF!</definedName>
    <definedName name="MaxV_15" localSheetId="2">Digitizer!#REF!</definedName>
    <definedName name="MaxV_16" localSheetId="2">Digitizer!#REF!</definedName>
    <definedName name="MaxV_17" localSheetId="2">Digitizer!#REF!</definedName>
    <definedName name="MaxV_18" localSheetId="2">Digitizer!#REF!</definedName>
    <definedName name="MaxV_19" localSheetId="2">Digitizer!#REF!</definedName>
    <definedName name="MaxV_20" localSheetId="2">Digitizer!#REF!</definedName>
    <definedName name="MaxV_21" localSheetId="2">Digitizer!#REF!</definedName>
    <definedName name="MaxV_22" localSheetId="2">Digitizer!#REF!</definedName>
    <definedName name="MaxV_23" localSheetId="2">Digitizer!#REF!</definedName>
    <definedName name="MaxV_24" localSheetId="2">Digitizer!#REF!</definedName>
    <definedName name="MaxV_25" localSheetId="2">Digitizer!#REF!</definedName>
    <definedName name="MaxV_26" localSheetId="2">Digitizer!#REF!</definedName>
    <definedName name="MaxV_27" localSheetId="2">Digitizer!#REF!</definedName>
    <definedName name="MaxV_28" localSheetId="2">Digitizer!#REF!</definedName>
    <definedName name="MaxV_29" localSheetId="2">Digitizer!#REF!</definedName>
    <definedName name="MaxV_30" localSheetId="2">Digitizer!#REF!</definedName>
    <definedName name="MaxV_31" localSheetId="2">Digitizer!#REF!</definedName>
    <definedName name="MaxV_32" localSheetId="2">Digitizer!#REF!</definedName>
    <definedName name="MeasurementType_01" localSheetId="7">DMM!$N$3</definedName>
    <definedName name="MeasurmentType_01" localSheetId="7">DMM!$N$3</definedName>
    <definedName name="MinV_01" localSheetId="2">Digitizer!#REF!</definedName>
    <definedName name="MinV_02" localSheetId="2">Digitizer!#REF!</definedName>
    <definedName name="MinV_03" localSheetId="2">Digitizer!#REF!</definedName>
    <definedName name="MinV_04" localSheetId="2">Digitizer!#REF!</definedName>
    <definedName name="MinV_05" localSheetId="2">Digitizer!#REF!</definedName>
    <definedName name="MinV_06" localSheetId="2">Digitizer!#REF!</definedName>
    <definedName name="MinV_07" localSheetId="2">Digitizer!#REF!</definedName>
    <definedName name="MinV_08" localSheetId="2">Digitizer!#REF!</definedName>
    <definedName name="MinV_09" localSheetId="2">Digitizer!#REF!</definedName>
    <definedName name="MinV_10" localSheetId="2">Digitizer!#REF!</definedName>
    <definedName name="MinV_11" localSheetId="2">Digitizer!#REF!</definedName>
    <definedName name="MinV_12" localSheetId="2">Digitizer!#REF!</definedName>
    <definedName name="MinV_13" localSheetId="2">Digitizer!#REF!</definedName>
    <definedName name="MinV_14" localSheetId="2">Digitizer!#REF!</definedName>
    <definedName name="MinV_15" localSheetId="2">Digitizer!#REF!</definedName>
    <definedName name="MinV_16" localSheetId="2">Digitizer!#REF!</definedName>
    <definedName name="MinV_17" localSheetId="2">Digitizer!#REF!</definedName>
    <definedName name="MinV_18" localSheetId="2">Digitizer!#REF!</definedName>
    <definedName name="MinV_19" localSheetId="2">Digitizer!#REF!</definedName>
    <definedName name="MinV_20" localSheetId="2">Digitizer!#REF!</definedName>
    <definedName name="MinV_21" localSheetId="2">Digitizer!#REF!</definedName>
    <definedName name="MinV_22" localSheetId="2">Digitizer!#REF!</definedName>
    <definedName name="MinV_23" localSheetId="2">Digitizer!#REF!</definedName>
    <definedName name="MinV_24" localSheetId="2">Digitizer!#REF!</definedName>
    <definedName name="MinV_25" localSheetId="2">Digitizer!#REF!</definedName>
    <definedName name="MinV_26" localSheetId="2">Digitizer!#REF!</definedName>
    <definedName name="MinV_27" localSheetId="2">Digitizer!#REF!</definedName>
    <definedName name="MinV_28" localSheetId="2">Digitizer!#REF!</definedName>
    <definedName name="MinV_29" localSheetId="2">Digitizer!#REF!</definedName>
    <definedName name="MinV_30" localSheetId="2">Digitizer!#REF!</definedName>
    <definedName name="MinV_31" localSheetId="2">Digitizer!#REF!</definedName>
    <definedName name="MinV_32" localSheetId="2">Digitizer!#REF!</definedName>
    <definedName name="Model_01" localSheetId="8">ARB!$H$4</definedName>
    <definedName name="Model_01" localSheetId="9">'DC Power Supply'!$H$4</definedName>
    <definedName name="Model_01" localSheetId="2">Digitizer!$H$3</definedName>
    <definedName name="Model_01" localSheetId="7">DMM!$H$3</definedName>
    <definedName name="Model_01" localSheetId="14">Example!$F$3</definedName>
    <definedName name="Model_01" localSheetId="4">'Foundation Bus'!$H$3</definedName>
    <definedName name="Model_01" localSheetId="11">FPGA!$H$3</definedName>
    <definedName name="Model_01" localSheetId="13">Scope!$H$3</definedName>
    <definedName name="Model_01" localSheetId="6">SpaceWire!$H$4</definedName>
    <definedName name="Model_01" localSheetId="3">Switch!$H$3</definedName>
    <definedName name="Model_01" localSheetId="1">Synchronization!$H$3</definedName>
    <definedName name="Model_02" localSheetId="8">ARB!$H$14</definedName>
    <definedName name="Model_02" localSheetId="9">'DC Power Supply'!$H$16</definedName>
    <definedName name="Model_02" localSheetId="2">Digitizer!$H$19</definedName>
    <definedName name="Model_02" localSheetId="11">FPGA!$H$42</definedName>
    <definedName name="Model_02" localSheetId="13">Scope!$H$19</definedName>
    <definedName name="Model_02" localSheetId="6">SpaceWire!$H$17</definedName>
    <definedName name="Model_02" localSheetId="3">Switch!$H$21</definedName>
    <definedName name="Model_02" localSheetId="1">Synchronization!$H$46</definedName>
    <definedName name="Model_03" localSheetId="8">ARB!$H$24</definedName>
    <definedName name="Model_03" localSheetId="9">'DC Power Supply'!$H$28</definedName>
    <definedName name="Model_03" localSheetId="2">Digitizer!$H$35</definedName>
    <definedName name="Model_03" localSheetId="11">FPGA!$H$50</definedName>
    <definedName name="Model_03" localSheetId="13">Scope!$H$35</definedName>
    <definedName name="Model_04" localSheetId="9">'DC Power Supply'!$H$40</definedName>
    <definedName name="Model_04" localSheetId="2">Digitizer!$H$51</definedName>
    <definedName name="Model_04" localSheetId="13">Scope!$H$51</definedName>
    <definedName name="Model_05" localSheetId="9">'DC Power Supply'!$H$52</definedName>
    <definedName name="Model_05" localSheetId="2">Digitizer!$H$67</definedName>
    <definedName name="Model_05" localSheetId="13">Scope!$H$63</definedName>
    <definedName name="Model_06" localSheetId="9">'DC Power Supply'!$H$64</definedName>
    <definedName name="Model_06" localSheetId="2">Digitizer!$H$83</definedName>
    <definedName name="Model_06" localSheetId="13">Scope!$H$73</definedName>
    <definedName name="Model_07" localSheetId="9">'DC Power Supply'!$H$73</definedName>
    <definedName name="Model_07" localSheetId="2">Digitizer!$H$99</definedName>
    <definedName name="Model_07" localSheetId="13">Scope!$H$85</definedName>
    <definedName name="Model_08" localSheetId="9">'DC Power Supply'!$H$82</definedName>
    <definedName name="Model_08" localSheetId="2">Digitizer!$H$115</definedName>
    <definedName name="Model_09" localSheetId="9">'DC Power Supply'!$H$91</definedName>
    <definedName name="Model_09" localSheetId="2">Digitizer!$H$131</definedName>
    <definedName name="Model_10" localSheetId="2">Digitizer!$H$147</definedName>
    <definedName name="Model_11" localSheetId="2">Digitizer!$H$163</definedName>
    <definedName name="Model_12" localSheetId="2">Digitizer!$H$179</definedName>
    <definedName name="Model_13" localSheetId="2">Digitizer!$H$195</definedName>
    <definedName name="Model_14" localSheetId="2">Digitizer!$H$211</definedName>
    <definedName name="Model_15" localSheetId="2">Digitizer!$H$227</definedName>
    <definedName name="Model_16" localSheetId="2">Digitizer!#REF!</definedName>
    <definedName name="Model_17" localSheetId="2">Digitizer!#REF!</definedName>
    <definedName name="Model_18" localSheetId="2">Digitizer!#REF!</definedName>
    <definedName name="Model_19" localSheetId="2">Digitizer!#REF!</definedName>
    <definedName name="Model_20" localSheetId="2">Digitizer!#REF!</definedName>
    <definedName name="Model_21" localSheetId="2">Digitizer!#REF!</definedName>
    <definedName name="Model_22" localSheetId="2">Digitizer!#REF!</definedName>
    <definedName name="Model_23" localSheetId="2">Digitizer!#REF!</definedName>
    <definedName name="Model_24" localSheetId="2">Digitizer!#REF!</definedName>
    <definedName name="Model_25" localSheetId="2">Digitizer!#REF!</definedName>
    <definedName name="Model_26" localSheetId="2">Digitizer!#REF!</definedName>
    <definedName name="Model_27" localSheetId="2">Digitizer!#REF!</definedName>
    <definedName name="Model_28" localSheetId="2">Digitizer!#REF!</definedName>
    <definedName name="Model_29" localSheetId="2">Digitizer!#REF!</definedName>
    <definedName name="Model_30" localSheetId="2">Digitizer!#REF!</definedName>
    <definedName name="Model_31" localSheetId="2">Digitizer!#REF!</definedName>
    <definedName name="Model_32" localSheetId="2">Digitizer!#REF!</definedName>
    <definedName name="MonitorDevice_01" localSheetId="10">FPGA_SquibEmulation!$J$4</definedName>
    <definedName name="MonitorDevice_02" localSheetId="10">FPGA_SquibEmulation!$J$5</definedName>
    <definedName name="MonitorDevice_03" localSheetId="10">FPGA_SquibEmulation!$J$6</definedName>
    <definedName name="MonitorDevice_04" localSheetId="10">FPGA_SquibEmulation!$J$7</definedName>
    <definedName name="MonitorDevice_05" localSheetId="10">FPGA_SquibEmulation!$J$8</definedName>
    <definedName name="MonitorDevice_06" localSheetId="10">FPGA_SquibEmulation!$J$9</definedName>
    <definedName name="MonitorDevice_07" localSheetId="10">FPGA_SquibEmulation!$J$10</definedName>
    <definedName name="MonitorDevice_08" localSheetId="10">FPGA_SquibEmulation!$J$11</definedName>
    <definedName name="MonitorDevice_09" localSheetId="10">FPGA_SquibEmulation!#REF!</definedName>
    <definedName name="MonitorDevice_10" localSheetId="10">FPGA_SquibEmulation!#REF!</definedName>
    <definedName name="MonitorDevice_11" localSheetId="10">FPGA_SquibEmulation!#REF!</definedName>
    <definedName name="MonitorPin_01" localSheetId="10">FPGA_SquibEmulation!$K$4</definedName>
    <definedName name="MonitorPin_02" localSheetId="10">FPGA_SquibEmulation!$K$5</definedName>
    <definedName name="MonitorPin_03" localSheetId="10">FPGA_SquibEmulation!$K$6</definedName>
    <definedName name="MonitorPin_04" localSheetId="10">FPGA_SquibEmulation!$K$7</definedName>
    <definedName name="MonitorPin_05" localSheetId="10">FPGA_SquibEmulation!$K$8</definedName>
    <definedName name="MonitorPin_06" localSheetId="10">FPGA_SquibEmulation!$K$9</definedName>
    <definedName name="MonitorPin_07" localSheetId="10">FPGA_SquibEmulation!$K$10</definedName>
    <definedName name="MonitorPin_08" localSheetId="10">FPGA_SquibEmulation!$K$11</definedName>
    <definedName name="MonitorPin_09" localSheetId="10">FPGA_SquibEmulation!#REF!</definedName>
    <definedName name="MonitorPin_10" localSheetId="10">FPGA_SquibEmulation!#REF!</definedName>
    <definedName name="MonitorPin_11" localSheetId="10">FPGA_SquibEmulation!#REF!</definedName>
    <definedName name="MonitorThreshold_01" localSheetId="10">FPGA_SquibEmulation!$I$4</definedName>
    <definedName name="MonitorThreshold_02" localSheetId="10">FPGA_SquibEmulation!$I$5</definedName>
    <definedName name="MonitorThreshold_03" localSheetId="10">FPGA_SquibEmulation!$I$6</definedName>
    <definedName name="MonitorThreshold_04" localSheetId="10">FPGA_SquibEmulation!$I$7</definedName>
    <definedName name="MonitorThreshold_05" localSheetId="10">FPGA_SquibEmulation!$I$8</definedName>
    <definedName name="MonitorThreshold_06" localSheetId="10">FPGA_SquibEmulation!$I$9</definedName>
    <definedName name="MonitorThreshold_07" localSheetId="10">FPGA_SquibEmulation!$I$10</definedName>
    <definedName name="MonitorThreshold_08" localSheetId="10">FPGA_SquibEmulation!$I$11</definedName>
    <definedName name="MonitorThreshold_09" localSheetId="10">FPGA_SquibEmulation!#REF!</definedName>
    <definedName name="MonitorThreshold_10" localSheetId="10">FPGA_SquibEmulation!#REF!</definedName>
    <definedName name="MonitorThreshold_11" localSheetId="10">FPGA_SquibEmulation!#REF!</definedName>
    <definedName name="NumberOfSamples_01" localSheetId="13">Scope!$M$3</definedName>
    <definedName name="NumberOfSamples_02" localSheetId="13">Scope!$M$19</definedName>
    <definedName name="NumberOfSamples_03" localSheetId="13">Scope!$M$35</definedName>
    <definedName name="NumberOfSamples_04" localSheetId="13">Scope!$M$51</definedName>
    <definedName name="NumberOfSamples_05" localSheetId="13">Scope!$M$63</definedName>
    <definedName name="NumberOfSamples_06" localSheetId="13">Scope!$M$73</definedName>
    <definedName name="NumberOfSamples_07" localSheetId="13">Scope!$M$85</definedName>
    <definedName name="Output_Mode_01" comment="The method that the signal generator produces waveforms." localSheetId="8">ARB!$O$4</definedName>
    <definedName name="PassiveListener_01" localSheetId="5">'FBUS Message(s)'!$G$2</definedName>
    <definedName name="PassiveListener_02" localSheetId="5">'FBUS Message(s)'!$N$2</definedName>
    <definedName name="Payload_01" localSheetId="5">'FBUS Message(s)'!$F$2</definedName>
    <definedName name="Payload_02" localSheetId="5">'FBUS Message(s)'!$M$2</definedName>
    <definedName name="Pretrigger_01" localSheetId="2">Digitizer!$V$3</definedName>
    <definedName name="Pretrigger_01" localSheetId="13">Scope!$S$3</definedName>
    <definedName name="Pretrigger_02" localSheetId="2">Digitizer!$V$19</definedName>
    <definedName name="Pretrigger_02" localSheetId="13">Scope!$S$19</definedName>
    <definedName name="Pretrigger_03" localSheetId="2">Digitizer!$V$35</definedName>
    <definedName name="Pretrigger_03" localSheetId="13">Scope!$S$35</definedName>
    <definedName name="Pretrigger_04" localSheetId="2">Digitizer!$V$51</definedName>
    <definedName name="Pretrigger_04" localSheetId="13">Scope!$S$51</definedName>
    <definedName name="Pretrigger_05" localSheetId="2">Digitizer!$V$67</definedName>
    <definedName name="Pretrigger_05" localSheetId="13">Scope!$S$63</definedName>
    <definedName name="Pretrigger_06" localSheetId="2">Digitizer!$V$83</definedName>
    <definedName name="Pretrigger_06" localSheetId="13">Scope!$S$73</definedName>
    <definedName name="Pretrigger_07" localSheetId="2">Digitizer!$V$99</definedName>
    <definedName name="Pretrigger_07" localSheetId="13">Scope!$S$85</definedName>
    <definedName name="Pretrigger_08" localSheetId="2">Digitizer!$V$115</definedName>
    <definedName name="Pretrigger_09" localSheetId="2">Digitizer!$V$131</definedName>
    <definedName name="Pretrigger_10" localSheetId="2">Digitizer!$V$147</definedName>
    <definedName name="Pretrigger_11" localSheetId="2">Digitizer!$V$163</definedName>
    <definedName name="Pretrigger_12" localSheetId="2">Digitizer!$V$179</definedName>
    <definedName name="Pretrigger_13" localSheetId="2">Digitizer!$V$195</definedName>
    <definedName name="Pretrigger_14" localSheetId="2">Digitizer!$V$211</definedName>
    <definedName name="Pretrigger_15" localSheetId="2">Digitizer!$V$227</definedName>
    <definedName name="Pretrigger_16" localSheetId="2">Digitizer!#REF!</definedName>
    <definedName name="Pretrigger_17" localSheetId="2">Digitizer!#REF!</definedName>
    <definedName name="Pretrigger_18" localSheetId="2">Digitizer!#REF!</definedName>
    <definedName name="Pretrigger_19" localSheetId="2">Digitizer!#REF!</definedName>
    <definedName name="Pretrigger_20" localSheetId="2">Digitizer!#REF!</definedName>
    <definedName name="Pretrigger_21" localSheetId="2">Digitizer!#REF!</definedName>
    <definedName name="Pretrigger_22" localSheetId="2">Digitizer!#REF!</definedName>
    <definedName name="Pretrigger_23" localSheetId="2">Digitizer!#REF!</definedName>
    <definedName name="Pretrigger_24" localSheetId="2">Digitizer!#REF!</definedName>
    <definedName name="Pretrigger_25" localSheetId="2">Digitizer!#REF!</definedName>
    <definedName name="Pretrigger_26" localSheetId="2">Digitizer!#REF!</definedName>
    <definedName name="Pretrigger_27" localSheetId="2">Digitizer!#REF!</definedName>
    <definedName name="Pretrigger_28" localSheetId="2">Digitizer!#REF!</definedName>
    <definedName name="Pretrigger_29" localSheetId="2">Digitizer!#REF!</definedName>
    <definedName name="Pretrigger_30" localSheetId="2">Digitizer!#REF!</definedName>
    <definedName name="Pretrigger_31" localSheetId="2">Digitizer!#REF!</definedName>
    <definedName name="Pretrigger_32" localSheetId="2">Digitizer!#REF!</definedName>
    <definedName name="PXIe_7867R" localSheetId="11">FPGA!$A$3</definedName>
    <definedName name="Range_01" localSheetId="7">DMM!$P$3</definedName>
    <definedName name="ReferenceClock_01" localSheetId="2">Digitizer!$L$3</definedName>
    <definedName name="ReferenceClock_02" localSheetId="2">Digitizer!$L$19</definedName>
    <definedName name="ReferenceClock_03" localSheetId="2">Digitizer!$L$35</definedName>
    <definedName name="ReferenceClock_04" localSheetId="2">Digitizer!$L$51</definedName>
    <definedName name="ReferenceClock_05" localSheetId="2">Digitizer!$L$67</definedName>
    <definedName name="ReferenceClock_06" localSheetId="2">Digitizer!$L$83</definedName>
    <definedName name="ReferenceClock_07" localSheetId="2">Digitizer!$L$99</definedName>
    <definedName name="ReferenceClock_08" localSheetId="2">Digitizer!$L$115</definedName>
    <definedName name="ReferenceClock_09" localSheetId="2">Digitizer!$L$131</definedName>
    <definedName name="ReferenceClock_10" localSheetId="2">Digitizer!$L$147</definedName>
    <definedName name="ReferenceClock_11" localSheetId="2">Digitizer!$L$163</definedName>
    <definedName name="ReferenceClock_12" localSheetId="2">Digitizer!$L$179</definedName>
    <definedName name="ReferenceClock_13" localSheetId="2">Digitizer!$L$195</definedName>
    <definedName name="ReferenceClock_14" localSheetId="2">Digitizer!$L$211</definedName>
    <definedName name="ReferenceClock_15" localSheetId="2">Digitizer!$L$227</definedName>
    <definedName name="ReferenceClock_16" localSheetId="2">Digitizer!#REF!</definedName>
    <definedName name="ReferenceClock_17" localSheetId="2">Digitizer!#REF!</definedName>
    <definedName name="ReferenceClock_18" localSheetId="2">Digitizer!#REF!</definedName>
    <definedName name="ReferenceClock_19" localSheetId="2">Digitizer!#REF!</definedName>
    <definedName name="ReferenceClock_20" localSheetId="2">Digitizer!#REF!</definedName>
    <definedName name="ReferenceClock_21" localSheetId="2">Digitizer!#REF!</definedName>
    <definedName name="ReferenceClock_22" localSheetId="2">Digitizer!#REF!</definedName>
    <definedName name="ReferenceClock_23" localSheetId="2">Digitizer!#REF!</definedName>
    <definedName name="ReferenceClock_24" localSheetId="2">Digitizer!#REF!</definedName>
    <definedName name="ReferenceClock_25" localSheetId="2">Digitizer!#REF!</definedName>
    <definedName name="ReferenceClock_26" localSheetId="2">Digitizer!#REF!</definedName>
    <definedName name="ReferenceClock_27" localSheetId="2">Digitizer!#REF!</definedName>
    <definedName name="ReferenceClock_28" localSheetId="2">Digitizer!#REF!</definedName>
    <definedName name="ReferenceClock_29" localSheetId="2">Digitizer!#REF!</definedName>
    <definedName name="ReferenceClock_30" localSheetId="2">Digitizer!#REF!</definedName>
    <definedName name="ReferenceClock_31" localSheetId="2">Digitizer!#REF!</definedName>
    <definedName name="ReferenceClock_32" localSheetId="2">Digitizer!#REF!</definedName>
    <definedName name="Resistance_01" localSheetId="10">FPGA_SquibEmulation!$C$4</definedName>
    <definedName name="Resistance_02" localSheetId="10">FPGA_SquibEmulation!$C$5</definedName>
    <definedName name="Resistance_03" localSheetId="10">FPGA_SquibEmulation!$C$6</definedName>
    <definedName name="Resistance_04" localSheetId="10">FPGA_SquibEmulation!$C$7</definedName>
    <definedName name="Resistance_05" localSheetId="10">FPGA_SquibEmulation!$C$8</definedName>
    <definedName name="Resistance_06" localSheetId="10">FPGA_SquibEmulation!$C$9</definedName>
    <definedName name="Resistance_07" localSheetId="10">FPGA_SquibEmulation!$C$10</definedName>
    <definedName name="Resistance_08" localSheetId="10">FPGA_SquibEmulation!$C$11</definedName>
    <definedName name="Resistance_09" localSheetId="10">FPGA_SquibEmulation!#REF!</definedName>
    <definedName name="Resistance_10" localSheetId="10">FPGA_SquibEmulation!#REF!</definedName>
    <definedName name="Resistance_11" localSheetId="10">FPGA_SquibEmulation!#REF!</definedName>
    <definedName name="Resistor00Device_01" localSheetId="10">FPGA_SquibEmulation!#REF!</definedName>
    <definedName name="Resistor00Device_02" localSheetId="10">FPGA_SquibEmulation!#REF!</definedName>
    <definedName name="Resistor00Device_03" localSheetId="10">FPGA_SquibEmulation!#REF!</definedName>
    <definedName name="Resistor00Device_04" localSheetId="10">FPGA_SquibEmulation!#REF!</definedName>
    <definedName name="Resistor00Device_05" localSheetId="10">FPGA_SquibEmulation!#REF!</definedName>
    <definedName name="Resistor00Device_06" localSheetId="10">FPGA_SquibEmulation!#REF!</definedName>
    <definedName name="Resistor00Device_07" localSheetId="10">FPGA_SquibEmulation!#REF!</definedName>
    <definedName name="Resistor00Device_08" localSheetId="10">FPGA_SquibEmulation!#REF!</definedName>
    <definedName name="Resistor00Device_09" localSheetId="10">FPGA_SquibEmulation!#REF!</definedName>
    <definedName name="Resistor00Device_10" localSheetId="10">FPGA_SquibEmulation!#REF!</definedName>
    <definedName name="Resistor00Device_11" localSheetId="10">FPGA_SquibEmulation!#REF!</definedName>
    <definedName name="Resistor00Enabled_01" localSheetId="10">FPGA_SquibEmulation!$N$4</definedName>
    <definedName name="Resistor00Enabled_02" localSheetId="10">FPGA_SquibEmulation!$N$5</definedName>
    <definedName name="Resistor00Enabled_03" localSheetId="10">FPGA_SquibEmulation!$N$6</definedName>
    <definedName name="Resistor00Enabled_04" localSheetId="10">FPGA_SquibEmulation!$N$7</definedName>
    <definedName name="Resistor00Enabled_05" localSheetId="10">FPGA_SquibEmulation!$N$8</definedName>
    <definedName name="Resistor00Enabled_06" localSheetId="10">FPGA_SquibEmulation!$N$9</definedName>
    <definedName name="Resistor00Enabled_07" localSheetId="10">FPGA_SquibEmulation!$N$10</definedName>
    <definedName name="Resistor00Enabled_08" localSheetId="10">FPGA_SquibEmulation!$N$11</definedName>
    <definedName name="Resistor00Enabled_09" localSheetId="10">FPGA_SquibEmulation!#REF!</definedName>
    <definedName name="Resistor00Enabled_10" localSheetId="10">FPGA_SquibEmulation!#REF!</definedName>
    <definedName name="Resistor00Enabled_11" localSheetId="10">FPGA_SquibEmulation!#REF!</definedName>
    <definedName name="Resistor00Pin_01" localSheetId="10">FPGA_SquibEmulation!#REF!</definedName>
    <definedName name="Resistor00Pin_02" localSheetId="10">FPGA_SquibEmulation!#REF!</definedName>
    <definedName name="Resistor00Pin_03" localSheetId="10">FPGA_SquibEmulation!#REF!</definedName>
    <definedName name="Resistor00Pin_04" localSheetId="10">FPGA_SquibEmulation!#REF!</definedName>
    <definedName name="Resistor00Pin_05" localSheetId="10">FPGA_SquibEmulation!#REF!</definedName>
    <definedName name="Resistor00Pin_06" localSheetId="10">FPGA_SquibEmulation!#REF!</definedName>
    <definedName name="Resistor00Pin_07" localSheetId="10">FPGA_SquibEmulation!#REF!</definedName>
    <definedName name="Resistor00Pin_08" localSheetId="10">FPGA_SquibEmulation!#REF!</definedName>
    <definedName name="Resistor00Pin_09" localSheetId="10">FPGA_SquibEmulation!#REF!</definedName>
    <definedName name="Resistor00Pin_10" localSheetId="10">FPGA_SquibEmulation!#REF!</definedName>
    <definedName name="Resistor00Pin_11" localSheetId="10">FPGA_SquibEmulation!#REF!</definedName>
    <definedName name="Resistor01Device_01" localSheetId="10">FPGA_SquibEmulation!#REF!</definedName>
    <definedName name="Resistor01Device_02" localSheetId="10">FPGA_SquibEmulation!#REF!</definedName>
    <definedName name="Resistor01Device_03" localSheetId="10">FPGA_SquibEmulation!#REF!</definedName>
    <definedName name="Resistor01Device_04" localSheetId="10">FPGA_SquibEmulation!#REF!</definedName>
    <definedName name="Resistor01Device_05" localSheetId="10">FPGA_SquibEmulation!#REF!</definedName>
    <definedName name="Resistor01Device_06" localSheetId="10">FPGA_SquibEmulation!#REF!</definedName>
    <definedName name="Resistor01Device_07" localSheetId="10">FPGA_SquibEmulation!#REF!</definedName>
    <definedName name="Resistor01Device_08" localSheetId="10">FPGA_SquibEmulation!#REF!</definedName>
    <definedName name="Resistor01Device_09" localSheetId="10">FPGA_SquibEmulation!#REF!</definedName>
    <definedName name="Resistor01Device_10" localSheetId="10">FPGA_SquibEmulation!#REF!</definedName>
    <definedName name="Resistor01Device_11" localSheetId="10">FPGA_SquibEmulation!#REF!</definedName>
    <definedName name="Resistor01Enabled_01" localSheetId="10">FPGA_SquibEmulation!$O$4</definedName>
    <definedName name="Resistor01Enabled_02" localSheetId="10">FPGA_SquibEmulation!$O$5</definedName>
    <definedName name="Resistor01Enabled_03" localSheetId="10">FPGA_SquibEmulation!$O$6</definedName>
    <definedName name="Resistor01Enabled_04" localSheetId="10">FPGA_SquibEmulation!$O$7</definedName>
    <definedName name="Resistor01Enabled_05" localSheetId="10">FPGA_SquibEmulation!$O$8</definedName>
    <definedName name="Resistor01Enabled_06" localSheetId="10">FPGA_SquibEmulation!$O$9</definedName>
    <definedName name="Resistor01Enabled_07" localSheetId="10">FPGA_SquibEmulation!$O$10</definedName>
    <definedName name="Resistor01Enabled_08" localSheetId="10">FPGA_SquibEmulation!$O$11</definedName>
    <definedName name="Resistor01Enabled_09" localSheetId="10">FPGA_SquibEmulation!#REF!</definedName>
    <definedName name="Resistor01Enabled_10" localSheetId="10">FPGA_SquibEmulation!#REF!</definedName>
    <definedName name="Resistor01Enabled_11" localSheetId="10">FPGA_SquibEmulation!#REF!</definedName>
    <definedName name="Resistor01Pin_01" localSheetId="10">FPGA_SquibEmulation!#REF!</definedName>
    <definedName name="Resistor01Pin_02" localSheetId="10">FPGA_SquibEmulation!#REF!</definedName>
    <definedName name="Resistor01Pin_03" localSheetId="10">FPGA_SquibEmulation!#REF!</definedName>
    <definedName name="Resistor01Pin_04" localSheetId="10">FPGA_SquibEmulation!#REF!</definedName>
    <definedName name="Resistor01Pin_05" localSheetId="10">FPGA_SquibEmulation!#REF!</definedName>
    <definedName name="Resistor01Pin_06" localSheetId="10">FPGA_SquibEmulation!#REF!</definedName>
    <definedName name="Resistor01Pin_07" localSheetId="10">FPGA_SquibEmulation!#REF!</definedName>
    <definedName name="Resistor01Pin_08" localSheetId="10">FPGA_SquibEmulation!#REF!</definedName>
    <definedName name="Resistor01Pin_09" localSheetId="10">FPGA_SquibEmulation!#REF!</definedName>
    <definedName name="Resistor01Pin_10" localSheetId="10">FPGA_SquibEmulation!#REF!</definedName>
    <definedName name="Resistor01Pin_11" localSheetId="10">FPGA_SquibEmulation!#REF!</definedName>
    <definedName name="Resistor02Device_01" localSheetId="10">FPGA_SquibEmulation!#REF!</definedName>
    <definedName name="Resistor02Device_02" localSheetId="10">FPGA_SquibEmulation!#REF!</definedName>
    <definedName name="Resistor02Device_03" localSheetId="10">FPGA_SquibEmulation!#REF!</definedName>
    <definedName name="Resistor02Device_04" localSheetId="10">FPGA_SquibEmulation!#REF!</definedName>
    <definedName name="Resistor02Device_05" localSheetId="10">FPGA_SquibEmulation!#REF!</definedName>
    <definedName name="Resistor02Device_06" localSheetId="10">FPGA_SquibEmulation!#REF!</definedName>
    <definedName name="Resistor02Device_07" localSheetId="10">FPGA_SquibEmulation!#REF!</definedName>
    <definedName name="Resistor02Device_08" localSheetId="10">FPGA_SquibEmulation!#REF!</definedName>
    <definedName name="Resistor02Device_09" localSheetId="10">FPGA_SquibEmulation!#REF!</definedName>
    <definedName name="Resistor02Device_10" localSheetId="10">FPGA_SquibEmulation!#REF!</definedName>
    <definedName name="Resistor02Device_11" localSheetId="10">FPGA_SquibEmulation!#REF!</definedName>
    <definedName name="Resistor02Enabled_01" localSheetId="10">FPGA_SquibEmulation!$P$4</definedName>
    <definedName name="Resistor02Enabled_02" localSheetId="10">FPGA_SquibEmulation!$P$5</definedName>
    <definedName name="Resistor02Enabled_03" localSheetId="10">FPGA_SquibEmulation!$P$6</definedName>
    <definedName name="Resistor02Enabled_04" localSheetId="10">FPGA_SquibEmulation!$P$7</definedName>
    <definedName name="Resistor02Enabled_05" localSheetId="10">FPGA_SquibEmulation!$P$8</definedName>
    <definedName name="Resistor02Enabled_06" localSheetId="10">FPGA_SquibEmulation!$P$9</definedName>
    <definedName name="Resistor02Enabled_07" localSheetId="10">FPGA_SquibEmulation!$P$10</definedName>
    <definedName name="Resistor02Enabled_08" localSheetId="10">FPGA_SquibEmulation!$P$11</definedName>
    <definedName name="Resistor02Enabled_09" localSheetId="10">FPGA_SquibEmulation!#REF!</definedName>
    <definedName name="Resistor02Enabled_10" localSheetId="10">FPGA_SquibEmulation!#REF!</definedName>
    <definedName name="Resistor02Enabled_11" localSheetId="10">FPGA_SquibEmulation!#REF!</definedName>
    <definedName name="Resistor02Pin_01" localSheetId="10">FPGA_SquibEmulation!#REF!</definedName>
    <definedName name="Resistor02Pin_02" localSheetId="10">FPGA_SquibEmulation!#REF!</definedName>
    <definedName name="Resistor02Pin_03" localSheetId="10">FPGA_SquibEmulation!#REF!</definedName>
    <definedName name="Resistor02Pin_04" localSheetId="10">FPGA_SquibEmulation!#REF!</definedName>
    <definedName name="Resistor02Pin_05" localSheetId="10">FPGA_SquibEmulation!#REF!</definedName>
    <definedName name="Resistor02Pin_06" localSheetId="10">FPGA_SquibEmulation!#REF!</definedName>
    <definedName name="Resistor02Pin_07" localSheetId="10">FPGA_SquibEmulation!#REF!</definedName>
    <definedName name="Resistor02Pin_08" localSheetId="10">FPGA_SquibEmulation!#REF!</definedName>
    <definedName name="Resistor02Pin_09" localSheetId="10">FPGA_SquibEmulation!#REF!</definedName>
    <definedName name="Resistor02Pin_10" localSheetId="10">FPGA_SquibEmulation!#REF!</definedName>
    <definedName name="Resistor02Pin_11" localSheetId="10">FPGA_SquibEmulation!#REF!</definedName>
    <definedName name="Resistor03Device_01" localSheetId="10">FPGA_SquibEmulation!#REF!</definedName>
    <definedName name="Resistor03Device_02" localSheetId="10">FPGA_SquibEmulation!#REF!</definedName>
    <definedName name="Resistor03Device_03" localSheetId="10">FPGA_SquibEmulation!#REF!</definedName>
    <definedName name="Resistor03Device_04" localSheetId="10">FPGA_SquibEmulation!#REF!</definedName>
    <definedName name="Resistor03Device_05" localSheetId="10">FPGA_SquibEmulation!#REF!</definedName>
    <definedName name="Resistor03Device_06" localSheetId="10">FPGA_SquibEmulation!#REF!</definedName>
    <definedName name="Resistor03Device_07" localSheetId="10">FPGA_SquibEmulation!#REF!</definedName>
    <definedName name="Resistor03Device_08" localSheetId="10">FPGA_SquibEmulation!#REF!</definedName>
    <definedName name="Resistor03Device_09" localSheetId="10">FPGA_SquibEmulation!#REF!</definedName>
    <definedName name="Resistor03Device_10" localSheetId="10">FPGA_SquibEmulation!#REF!</definedName>
    <definedName name="Resistor03Device_11" localSheetId="10">FPGA_SquibEmulation!#REF!</definedName>
    <definedName name="Resistor03Enabled_01" localSheetId="10">FPGA_SquibEmulation!$Q$4</definedName>
    <definedName name="Resistor03Enabled_02" localSheetId="10">FPGA_SquibEmulation!$Q$5</definedName>
    <definedName name="Resistor03Enabled_03" localSheetId="10">FPGA_SquibEmulation!$Q$6</definedName>
    <definedName name="Resistor03Enabled_04" localSheetId="10">FPGA_SquibEmulation!$Q$7</definedName>
    <definedName name="Resistor03Enabled_05" localSheetId="10">FPGA_SquibEmulation!$Q$8</definedName>
    <definedName name="Resistor03Enabled_06" localSheetId="10">FPGA_SquibEmulation!$Q$9</definedName>
    <definedName name="Resistor03Enabled_07" localSheetId="10">FPGA_SquibEmulation!$Q$10</definedName>
    <definedName name="Resistor03Enabled_08" localSheetId="10">FPGA_SquibEmulation!$Q$11</definedName>
    <definedName name="Resistor03Enabled_09" localSheetId="10">FPGA_SquibEmulation!#REF!</definedName>
    <definedName name="Resistor03Enabled_10" localSheetId="10">FPGA_SquibEmulation!#REF!</definedName>
    <definedName name="Resistor03Enabled_11" localSheetId="10">FPGA_SquibEmulation!#REF!</definedName>
    <definedName name="Resistor03Pin_01" localSheetId="10">FPGA_SquibEmulation!#REF!</definedName>
    <definedName name="Resistor03Pin_02" localSheetId="10">FPGA_SquibEmulation!#REF!</definedName>
    <definedName name="Resistor03Pin_03" localSheetId="10">FPGA_SquibEmulation!#REF!</definedName>
    <definedName name="Resistor03Pin_04" localSheetId="10">FPGA_SquibEmulation!#REF!</definedName>
    <definedName name="Resistor03Pin_05" localSheetId="10">FPGA_SquibEmulation!#REF!</definedName>
    <definedName name="Resistor03Pin_06" localSheetId="10">FPGA_SquibEmulation!#REF!</definedName>
    <definedName name="Resistor03Pin_07" localSheetId="10">FPGA_SquibEmulation!#REF!</definedName>
    <definedName name="Resistor03Pin_08" localSheetId="10">FPGA_SquibEmulation!#REF!</definedName>
    <definedName name="Resistor03Pin_09" localSheetId="10">FPGA_SquibEmulation!#REF!</definedName>
    <definedName name="Resistor03Pin_10" localSheetId="10">FPGA_SquibEmulation!#REF!</definedName>
    <definedName name="Resistor03Pin_11" localSheetId="10">FPGA_SquibEmulation!#REF!</definedName>
    <definedName name="Resistor04Device_01" localSheetId="10">FPGA_SquibEmulation!#REF!</definedName>
    <definedName name="Resistor04Device_02" localSheetId="10">FPGA_SquibEmulation!#REF!</definedName>
    <definedName name="Resistor04Device_03" localSheetId="10">FPGA_SquibEmulation!#REF!</definedName>
    <definedName name="Resistor04Device_04" localSheetId="10">FPGA_SquibEmulation!#REF!</definedName>
    <definedName name="Resistor04Device_05" localSheetId="10">FPGA_SquibEmulation!#REF!</definedName>
    <definedName name="Resistor04Device_06" localSheetId="10">FPGA_SquibEmulation!#REF!</definedName>
    <definedName name="Resistor04Device_07" localSheetId="10">FPGA_SquibEmulation!#REF!</definedName>
    <definedName name="Resistor04Device_08" localSheetId="10">FPGA_SquibEmulation!#REF!</definedName>
    <definedName name="Resistor04Device_09" localSheetId="10">FPGA_SquibEmulation!#REF!</definedName>
    <definedName name="Resistor04Device_10" localSheetId="10">FPGA_SquibEmulation!#REF!</definedName>
    <definedName name="Resistor04Device_11" localSheetId="10">FPGA_SquibEmulation!#REF!</definedName>
    <definedName name="Resistor04Enabled_01" localSheetId="10">FPGA_SquibEmulation!$R$4</definedName>
    <definedName name="Resistor04Enabled_02" localSheetId="10">FPGA_SquibEmulation!$R$5</definedName>
    <definedName name="Resistor04Enabled_03" localSheetId="10">FPGA_SquibEmulation!$R$6</definedName>
    <definedName name="Resistor04Enabled_04" localSheetId="10">FPGA_SquibEmulation!$R$7</definedName>
    <definedName name="Resistor04Enabled_05" localSheetId="10">FPGA_SquibEmulation!$R$8</definedName>
    <definedName name="Resistor04Enabled_06" localSheetId="10">FPGA_SquibEmulation!$R$9</definedName>
    <definedName name="Resistor04Enabled_07" localSheetId="10">FPGA_SquibEmulation!$R$10</definedName>
    <definedName name="Resistor04Enabled_08" localSheetId="10">FPGA_SquibEmulation!$R$11</definedName>
    <definedName name="Resistor04Enabled_09" localSheetId="10">FPGA_SquibEmulation!#REF!</definedName>
    <definedName name="Resistor04Enabled_10" localSheetId="10">FPGA_SquibEmulation!#REF!</definedName>
    <definedName name="Resistor04Enabled_11" localSheetId="10">FPGA_SquibEmulation!#REF!</definedName>
    <definedName name="Resistor04Pin_01" localSheetId="10">FPGA_SquibEmulation!#REF!</definedName>
    <definedName name="Resistor04Pin_02" localSheetId="10">FPGA_SquibEmulation!#REF!</definedName>
    <definedName name="Resistor04Pin_03" localSheetId="10">FPGA_SquibEmulation!#REF!</definedName>
    <definedName name="Resistor04Pin_04" localSheetId="10">FPGA_SquibEmulation!#REF!</definedName>
    <definedName name="Resistor04Pin_05" localSheetId="10">FPGA_SquibEmulation!#REF!</definedName>
    <definedName name="Resistor04Pin_06" localSheetId="10">FPGA_SquibEmulation!#REF!</definedName>
    <definedName name="Resistor04Pin_07" localSheetId="10">FPGA_SquibEmulation!#REF!</definedName>
    <definedName name="Resistor04Pin_08" localSheetId="10">FPGA_SquibEmulation!#REF!</definedName>
    <definedName name="Resistor04Pin_09" localSheetId="10">FPGA_SquibEmulation!#REF!</definedName>
    <definedName name="Resistor04Pin_10" localSheetId="10">FPGA_SquibEmulation!#REF!</definedName>
    <definedName name="Resistor04Pin_11" localSheetId="10">FPGA_SquibEmulation!#REF!</definedName>
    <definedName name="Resistor05Device_01" localSheetId="10">FPGA_SquibEmulation!#REF!</definedName>
    <definedName name="Resistor05Device_02" localSheetId="10">FPGA_SquibEmulation!#REF!</definedName>
    <definedName name="Resistor05Device_03" localSheetId="10">FPGA_SquibEmulation!#REF!</definedName>
    <definedName name="Resistor05Device_04" localSheetId="10">FPGA_SquibEmulation!#REF!</definedName>
    <definedName name="Resistor05Device_05" localSheetId="10">FPGA_SquibEmulation!#REF!</definedName>
    <definedName name="Resistor05Device_06" localSheetId="10">FPGA_SquibEmulation!#REF!</definedName>
    <definedName name="Resistor05Device_07" localSheetId="10">FPGA_SquibEmulation!#REF!</definedName>
    <definedName name="Resistor05Device_08" localSheetId="10">FPGA_SquibEmulation!#REF!</definedName>
    <definedName name="Resistor05Device_09" localSheetId="10">FPGA_SquibEmulation!#REF!</definedName>
    <definedName name="Resistor05Device_10" localSheetId="10">FPGA_SquibEmulation!#REF!</definedName>
    <definedName name="Resistor05Device_11" localSheetId="10">FPGA_SquibEmulation!#REF!</definedName>
    <definedName name="Resistor05Enabled_01" localSheetId="10">FPGA_SquibEmulation!$S$4</definedName>
    <definedName name="Resistor05Enabled_02" localSheetId="10">FPGA_SquibEmulation!$S$5</definedName>
    <definedName name="Resistor05Enabled_03" localSheetId="10">FPGA_SquibEmulation!$S$6</definedName>
    <definedName name="Resistor05Enabled_04" localSheetId="10">FPGA_SquibEmulation!$S$7</definedName>
    <definedName name="Resistor05Enabled_05" localSheetId="10">FPGA_SquibEmulation!$S$8</definedName>
    <definedName name="Resistor05Enabled_06" localSheetId="10">FPGA_SquibEmulation!$S$9</definedName>
    <definedName name="Resistor05Enabled_07" localSheetId="10">FPGA_SquibEmulation!$S$10</definedName>
    <definedName name="Resistor05Enabled_08" localSheetId="10">FPGA_SquibEmulation!$S$11</definedName>
    <definedName name="Resistor05Enabled_09" localSheetId="10">FPGA_SquibEmulation!#REF!</definedName>
    <definedName name="Resistor05Enabled_10" localSheetId="10">FPGA_SquibEmulation!#REF!</definedName>
    <definedName name="Resistor05Enabled_11" localSheetId="10">FPGA_SquibEmulation!#REF!</definedName>
    <definedName name="Resistor05Pin_01" localSheetId="10">FPGA_SquibEmulation!#REF!</definedName>
    <definedName name="Resistor05Pin_02" localSheetId="10">FPGA_SquibEmulation!#REF!</definedName>
    <definedName name="Resistor05Pin_03" localSheetId="10">FPGA_SquibEmulation!#REF!</definedName>
    <definedName name="Resistor05Pin_04" localSheetId="10">FPGA_SquibEmulation!#REF!</definedName>
    <definedName name="Resistor05Pin_05" localSheetId="10">FPGA_SquibEmulation!#REF!</definedName>
    <definedName name="Resistor05Pin_06" localSheetId="10">FPGA_SquibEmulation!#REF!</definedName>
    <definedName name="Resistor05Pin_07" localSheetId="10">FPGA_SquibEmulation!#REF!</definedName>
    <definedName name="Resistor05Pin_08" localSheetId="10">FPGA_SquibEmulation!#REF!</definedName>
    <definedName name="Resistor05Pin_09" localSheetId="10">FPGA_SquibEmulation!#REF!</definedName>
    <definedName name="Resistor05Pin_10" localSheetId="10">FPGA_SquibEmulation!#REF!</definedName>
    <definedName name="Resistor05Pin_11" localSheetId="10">FPGA_SquibEmulation!#REF!</definedName>
    <definedName name="Resistor06Device_01" localSheetId="10">FPGA_SquibEmulation!#REF!</definedName>
    <definedName name="Resistor06Device_02" localSheetId="10">FPGA_SquibEmulation!#REF!</definedName>
    <definedName name="Resistor06Device_03" localSheetId="10">FPGA_SquibEmulation!#REF!</definedName>
    <definedName name="Resistor06Device_04" localSheetId="10">FPGA_SquibEmulation!#REF!</definedName>
    <definedName name="Resistor06Device_05" localSheetId="10">FPGA_SquibEmulation!#REF!</definedName>
    <definedName name="Resistor06Device_06" localSheetId="10">FPGA_SquibEmulation!#REF!</definedName>
    <definedName name="Resistor06Device_07" localSheetId="10">FPGA_SquibEmulation!#REF!</definedName>
    <definedName name="Resistor06Device_08" localSheetId="10">FPGA_SquibEmulation!#REF!</definedName>
    <definedName name="Resistor06Device_09" localSheetId="10">FPGA_SquibEmulation!#REF!</definedName>
    <definedName name="Resistor06Device_10" localSheetId="10">FPGA_SquibEmulation!#REF!</definedName>
    <definedName name="Resistor06Device_11" localSheetId="10">FPGA_SquibEmulation!#REF!</definedName>
    <definedName name="Resistor06Enabled_01" localSheetId="10">FPGA_SquibEmulation!$T$4</definedName>
    <definedName name="Resistor06Enabled_02" localSheetId="10">FPGA_SquibEmulation!$T$5</definedName>
    <definedName name="Resistor06Enabled_03" localSheetId="10">FPGA_SquibEmulation!$T$6</definedName>
    <definedName name="Resistor06Enabled_04" localSheetId="10">FPGA_SquibEmulation!$T$7</definedName>
    <definedName name="Resistor06Enabled_05" localSheetId="10">FPGA_SquibEmulation!$T$8</definedName>
    <definedName name="Resistor06Enabled_06" localSheetId="10">FPGA_SquibEmulation!$T$9</definedName>
    <definedName name="Resistor06Enabled_07" localSheetId="10">FPGA_SquibEmulation!$T$10</definedName>
    <definedName name="Resistor06Enabled_08" localSheetId="10">FPGA_SquibEmulation!$T$11</definedName>
    <definedName name="Resistor06Enabled_09" localSheetId="10">FPGA_SquibEmulation!#REF!</definedName>
    <definedName name="Resistor06Enabled_10" localSheetId="10">FPGA_SquibEmulation!#REF!</definedName>
    <definedName name="Resistor06Enabled_11" localSheetId="10">FPGA_SquibEmulation!#REF!</definedName>
    <definedName name="Resistor06Pin_01" localSheetId="10">FPGA_SquibEmulation!#REF!</definedName>
    <definedName name="Resistor06Pin_02" localSheetId="10">FPGA_SquibEmulation!#REF!</definedName>
    <definedName name="Resistor06Pin_03" localSheetId="10">FPGA_SquibEmulation!#REF!</definedName>
    <definedName name="Resistor06Pin_04" localSheetId="10">FPGA_SquibEmulation!#REF!</definedName>
    <definedName name="Resistor06Pin_05" localSheetId="10">FPGA_SquibEmulation!#REF!</definedName>
    <definedName name="Resistor06Pin_06" localSheetId="10">FPGA_SquibEmulation!#REF!</definedName>
    <definedName name="Resistor06Pin_07" localSheetId="10">FPGA_SquibEmulation!#REF!</definedName>
    <definedName name="Resistor06Pin_08" localSheetId="10">FPGA_SquibEmulation!#REF!</definedName>
    <definedName name="Resistor06Pin_09" localSheetId="10">FPGA_SquibEmulation!#REF!</definedName>
    <definedName name="Resistor06Pin_10" localSheetId="10">FPGA_SquibEmulation!#REF!</definedName>
    <definedName name="Resistor06Pin_11" localSheetId="10">FPGA_SquibEmulation!#REF!</definedName>
    <definedName name="Resistor07Device_01" localSheetId="10">FPGA_SquibEmulation!#REF!</definedName>
    <definedName name="Resistor07Device_02" localSheetId="10">FPGA_SquibEmulation!#REF!</definedName>
    <definedName name="Resistor07Device_03" localSheetId="10">FPGA_SquibEmulation!#REF!</definedName>
    <definedName name="Resistor07Device_04" localSheetId="10">FPGA_SquibEmulation!#REF!</definedName>
    <definedName name="Resistor07Device_05" localSheetId="10">FPGA_SquibEmulation!#REF!</definedName>
    <definedName name="Resistor07Device_06" localSheetId="10">FPGA_SquibEmulation!#REF!</definedName>
    <definedName name="Resistor07Device_07" localSheetId="10">FPGA_SquibEmulation!#REF!</definedName>
    <definedName name="Resistor07Device_08" localSheetId="10">FPGA_SquibEmulation!#REF!</definedName>
    <definedName name="Resistor07Device_09" localSheetId="10">FPGA_SquibEmulation!#REF!</definedName>
    <definedName name="Resistor07Device_10" localSheetId="10">FPGA_SquibEmulation!#REF!</definedName>
    <definedName name="Resistor07Device_11" localSheetId="10">FPGA_SquibEmulation!#REF!</definedName>
    <definedName name="Resistor07Enabled_01" localSheetId="10">FPGA_SquibEmulation!$U$4</definedName>
    <definedName name="Resistor07Enabled_02" localSheetId="10">FPGA_SquibEmulation!$U$5</definedName>
    <definedName name="Resistor07Enabled_03" localSheetId="10">FPGA_SquibEmulation!$U$6</definedName>
    <definedName name="Resistor07Enabled_04" localSheetId="10">FPGA_SquibEmulation!$U$7</definedName>
    <definedName name="Resistor07Enabled_05" localSheetId="10">FPGA_SquibEmulation!$U$8</definedName>
    <definedName name="Resistor07Enabled_06" localSheetId="10">FPGA_SquibEmulation!$U$9</definedName>
    <definedName name="Resistor07Enabled_07" localSheetId="10">FPGA_SquibEmulation!$U$10</definedName>
    <definedName name="Resistor07Enabled_08" localSheetId="10">FPGA_SquibEmulation!$U$11</definedName>
    <definedName name="Resistor07Enabled_09" localSheetId="10">FPGA_SquibEmulation!#REF!</definedName>
    <definedName name="Resistor07Enabled_10" localSheetId="10">FPGA_SquibEmulation!#REF!</definedName>
    <definedName name="Resistor07Enabled_11" localSheetId="10">FPGA_SquibEmulation!#REF!</definedName>
    <definedName name="Resistor07Pin_01" localSheetId="10">FPGA_SquibEmulation!#REF!</definedName>
    <definedName name="Resistor07Pin_02" localSheetId="10">FPGA_SquibEmulation!#REF!</definedName>
    <definedName name="Resistor07Pin_03" localSheetId="10">FPGA_SquibEmulation!#REF!</definedName>
    <definedName name="Resistor07Pin_04" localSheetId="10">FPGA_SquibEmulation!#REF!</definedName>
    <definedName name="Resistor07Pin_05" localSheetId="10">FPGA_SquibEmulation!#REF!</definedName>
    <definedName name="Resistor07Pin_06" localSheetId="10">FPGA_SquibEmulation!#REF!</definedName>
    <definedName name="Resistor07Pin_07" localSheetId="10">FPGA_SquibEmulation!#REF!</definedName>
    <definedName name="Resistor07Pin_08" localSheetId="10">FPGA_SquibEmulation!#REF!</definedName>
    <definedName name="Resistor07Pin_09" localSheetId="10">FPGA_SquibEmulation!#REF!</definedName>
    <definedName name="Resistor07Pin_10" localSheetId="10">FPGA_SquibEmulation!#REF!</definedName>
    <definedName name="Resistor07Pin_11" localSheetId="10">FPGA_SquibEmulation!#REF!</definedName>
    <definedName name="ResistorValues" localSheetId="10">FPGA_SquibEmulation!$N$2:$U$2</definedName>
    <definedName name="Resolution_01" localSheetId="7">DMM!$O$3</definedName>
    <definedName name="Resoultion_01" localSheetId="7">DMM!$O$3</definedName>
    <definedName name="Sample_Rate_01" localSheetId="8">ARB!$L$4</definedName>
    <definedName name="SampleClockEdge_01" localSheetId="2">Digitizer!$M$3</definedName>
    <definedName name="SampleClockEdge_02" localSheetId="2">Digitizer!$M$19</definedName>
    <definedName name="SampleClockEdge_03" localSheetId="2">Digitizer!$M$35</definedName>
    <definedName name="SampleClockEdge_04" localSheetId="2">Digitizer!$M$51</definedName>
    <definedName name="SampleClockEdge_05" localSheetId="2">Digitizer!$M$67</definedName>
    <definedName name="SampleClockEdge_06" localSheetId="2">Digitizer!$M$83</definedName>
    <definedName name="SampleClockEdge_07" localSheetId="2">Digitizer!$M$99</definedName>
    <definedName name="SampleClockEdge_08" localSheetId="2">Digitizer!$M$115</definedName>
    <definedName name="SampleClockEdge_09" localSheetId="2">Digitizer!$M$131</definedName>
    <definedName name="SampleClockEdge_10" localSheetId="2">Digitizer!$M$147</definedName>
    <definedName name="SampleClockEdge_11" localSheetId="2">Digitizer!$M$163</definedName>
    <definedName name="SampleClockEdge_12" localSheetId="2">Digitizer!$M$179</definedName>
    <definedName name="SampleClockEdge_13" localSheetId="2">Digitizer!$M$195</definedName>
    <definedName name="SampleClockEdge_14" localSheetId="2">Digitizer!$M$211</definedName>
    <definedName name="SampleClockEdge_15" localSheetId="2">Digitizer!$M$227</definedName>
    <definedName name="SampleClockEdge_16" localSheetId="2">Digitizer!#REF!</definedName>
    <definedName name="SampleClockEdge_17" localSheetId="2">Digitizer!#REF!</definedName>
    <definedName name="SampleClockEdge_18" localSheetId="2">Digitizer!#REF!</definedName>
    <definedName name="SampleClockEdge_19" localSheetId="2">Digitizer!#REF!</definedName>
    <definedName name="SampleClockEdge_20" localSheetId="2">Digitizer!#REF!</definedName>
    <definedName name="SampleClockEdge_21" localSheetId="2">Digitizer!#REF!</definedName>
    <definedName name="SampleClockEdge_22" localSheetId="2">Digitizer!#REF!</definedName>
    <definedName name="SampleClockEdge_23" localSheetId="2">Digitizer!#REF!</definedName>
    <definedName name="SampleClockEdge_24" localSheetId="2">Digitizer!#REF!</definedName>
    <definedName name="SampleClockEdge_25" localSheetId="2">Digitizer!#REF!</definedName>
    <definedName name="SampleClockEdge_26" localSheetId="2">Digitizer!#REF!</definedName>
    <definedName name="SampleClockEdge_27" localSheetId="2">Digitizer!#REF!</definedName>
    <definedName name="SampleClockEdge_28" localSheetId="2">Digitizer!#REF!</definedName>
    <definedName name="SampleClockEdge_29" localSheetId="2">Digitizer!#REF!</definedName>
    <definedName name="SampleClockEdge_30" localSheetId="2">Digitizer!#REF!</definedName>
    <definedName name="SampleClockEdge_31" localSheetId="2">Digitizer!#REF!</definedName>
    <definedName name="SampleClockEdge_32" localSheetId="2">Digitizer!#REF!</definedName>
    <definedName name="SampleDuration_01" localSheetId="2">Digitizer!$U$3</definedName>
    <definedName name="SampleDuration_02" localSheetId="2">Digitizer!$U$19</definedName>
    <definedName name="SampleDuration_03" localSheetId="2">Digitizer!$U$35</definedName>
    <definedName name="SampleDuration_04" localSheetId="2">Digitizer!$U$51</definedName>
    <definedName name="SampleDuration_05" localSheetId="2">Digitizer!$U$67</definedName>
    <definedName name="SampleDuration_06" localSheetId="2">Digitizer!$U$83</definedName>
    <definedName name="SampleDuration_07" localSheetId="2">Digitizer!$U$99</definedName>
    <definedName name="SampleDuration_08" localSheetId="2">Digitizer!$U$115</definedName>
    <definedName name="SampleDuration_09" localSheetId="2">Digitizer!$U$131</definedName>
    <definedName name="SampleDuration_10" localSheetId="2">Digitizer!$U$147</definedName>
    <definedName name="SampleDuration_11" localSheetId="2">Digitizer!$U$163</definedName>
    <definedName name="SampleDuration_12" localSheetId="2">Digitizer!$U$179</definedName>
    <definedName name="SampleDuration_13" localSheetId="2">Digitizer!$U$195</definedName>
    <definedName name="SampleDuration_14" localSheetId="2">Digitizer!$U$211</definedName>
    <definedName name="SampleDuration_15" localSheetId="2">Digitizer!$U$227</definedName>
    <definedName name="SampleDuration_16" localSheetId="2">Digitizer!#REF!</definedName>
    <definedName name="SampleDuration_17" localSheetId="2">Digitizer!#REF!</definedName>
    <definedName name="SampleDuration_18" localSheetId="2">Digitizer!#REF!</definedName>
    <definedName name="SampleDuration_19" localSheetId="2">Digitizer!#REF!</definedName>
    <definedName name="SampleDuration_20" localSheetId="2">Digitizer!#REF!</definedName>
    <definedName name="SampleDuration_21" localSheetId="2">Digitizer!#REF!</definedName>
    <definedName name="SampleDuration_22" localSheetId="2">Digitizer!#REF!</definedName>
    <definedName name="SampleDuration_23" localSheetId="2">Digitizer!#REF!</definedName>
    <definedName name="SampleDuration_24" localSheetId="2">Digitizer!#REF!</definedName>
    <definedName name="SampleDuration_25" localSheetId="2">Digitizer!#REF!</definedName>
    <definedName name="SampleDuration_26" localSheetId="2">Digitizer!#REF!</definedName>
    <definedName name="SampleDuration_27" localSheetId="2">Digitizer!#REF!</definedName>
    <definedName name="SampleDuration_28" localSheetId="2">Digitizer!#REF!</definedName>
    <definedName name="SampleDuration_29" localSheetId="2">Digitizer!#REF!</definedName>
    <definedName name="SampleDuration_30" localSheetId="2">Digitizer!#REF!</definedName>
    <definedName name="SampleDuration_31" localSheetId="2">Digitizer!#REF!</definedName>
    <definedName name="SampleDuration_32" localSheetId="2">Digitizer!#REF!</definedName>
    <definedName name="SampleMode_01" localSheetId="2">Digitizer!$S$3</definedName>
    <definedName name="SampleMode_02" localSheetId="2">Digitizer!$S$19</definedName>
    <definedName name="SampleMode_03" localSheetId="2">Digitizer!$S$35</definedName>
    <definedName name="SampleMode_04" localSheetId="2">Digitizer!$S$51</definedName>
    <definedName name="SampleMode_05" localSheetId="2">Digitizer!$S$67</definedName>
    <definedName name="SampleMode_06" localSheetId="2">Digitizer!$S$83</definedName>
    <definedName name="SampleMode_07" localSheetId="2">Digitizer!$S$99</definedName>
    <definedName name="SampleMode_08" localSheetId="2">Digitizer!$S$115</definedName>
    <definedName name="SampleMode_09" localSheetId="2">Digitizer!$S$131</definedName>
    <definedName name="SampleMode_10" localSheetId="2">Digitizer!$S$147</definedName>
    <definedName name="SampleMode_11" localSheetId="2">Digitizer!$S$163</definedName>
    <definedName name="SampleMode_12" localSheetId="2">Digitizer!$S$179</definedName>
    <definedName name="SampleMode_13" localSheetId="2">Digitizer!$S$195</definedName>
    <definedName name="SampleMode_14" localSheetId="2">Digitizer!$S$211</definedName>
    <definedName name="SampleMode_15" localSheetId="2">Digitizer!$S$227</definedName>
    <definedName name="SampleMode_16" localSheetId="2">Digitizer!#REF!</definedName>
    <definedName name="SampleMode_17" localSheetId="2">Digitizer!#REF!</definedName>
    <definedName name="SampleMode_18" localSheetId="2">Digitizer!#REF!</definedName>
    <definedName name="SampleMode_19" localSheetId="2">Digitizer!#REF!</definedName>
    <definedName name="SampleMode_20" localSheetId="2">Digitizer!#REF!</definedName>
    <definedName name="SampleMode_21" localSheetId="2">Digitizer!#REF!</definedName>
    <definedName name="SampleMode_22" localSheetId="2">Digitizer!#REF!</definedName>
    <definedName name="SampleMode_23" localSheetId="2">Digitizer!#REF!</definedName>
    <definedName name="SampleMode_24" localSheetId="2">Digitizer!#REF!</definedName>
    <definedName name="SampleMode_25" localSheetId="2">Digitizer!#REF!</definedName>
    <definedName name="SampleMode_26" localSheetId="2">Digitizer!#REF!</definedName>
    <definedName name="SampleMode_27" localSheetId="2">Digitizer!#REF!</definedName>
    <definedName name="SampleMode_28" localSheetId="2">Digitizer!#REF!</definedName>
    <definedName name="SampleMode_29" localSheetId="2">Digitizer!#REF!</definedName>
    <definedName name="SampleMode_30" localSheetId="2">Digitizer!#REF!</definedName>
    <definedName name="SampleMode_31" localSheetId="2">Digitizer!#REF!</definedName>
    <definedName name="SampleMode_32" localSheetId="2">Digitizer!#REF!</definedName>
    <definedName name="SampleRate_01" localSheetId="2">Digitizer!$T$3</definedName>
    <definedName name="SampleRate_01" localSheetId="13">Scope!$L$3</definedName>
    <definedName name="SampleRate_02" localSheetId="2">Digitizer!$T$19</definedName>
    <definedName name="SampleRate_02" localSheetId="13">Scope!$L$19</definedName>
    <definedName name="SampleRate_02" localSheetId="3">Switch!#REF!</definedName>
    <definedName name="SampleRate_03" localSheetId="2">Digitizer!$T$35</definedName>
    <definedName name="SampleRate_03" localSheetId="13">Scope!$L$35</definedName>
    <definedName name="SampleRate_04" localSheetId="2">Digitizer!$T$51</definedName>
    <definedName name="SampleRate_04" localSheetId="13">Scope!$L$51</definedName>
    <definedName name="SampleRate_05" localSheetId="2">Digitizer!$T$67</definedName>
    <definedName name="SampleRate_05" localSheetId="13">Scope!$L$63</definedName>
    <definedName name="SampleRate_06" localSheetId="2">Digitizer!$T$83</definedName>
    <definedName name="SampleRate_06" localSheetId="13">Scope!$L$73</definedName>
    <definedName name="SampleRate_07" localSheetId="2">Digitizer!$T$99</definedName>
    <definedName name="SampleRate_07" localSheetId="13">Scope!$L$85</definedName>
    <definedName name="SampleRate_08" localSheetId="2">Digitizer!$T$115</definedName>
    <definedName name="SampleRate_09" localSheetId="2">Digitizer!$T$131</definedName>
    <definedName name="SampleRate_10" localSheetId="2">Digitizer!$T$147</definedName>
    <definedName name="SampleRate_11" localSheetId="2">Digitizer!$T$163</definedName>
    <definedName name="SampleRate_12" localSheetId="2">Digitizer!$T$179</definedName>
    <definedName name="SampleRate_13" localSheetId="2">Digitizer!$T$195</definedName>
    <definedName name="SampleRate_14" localSheetId="2">Digitizer!$T$211</definedName>
    <definedName name="SampleRate_15" localSheetId="2">Digitizer!$T$227</definedName>
    <definedName name="SampleRate_16" localSheetId="2">Digitizer!#REF!</definedName>
    <definedName name="SampleRate_17" localSheetId="2">Digitizer!#REF!</definedName>
    <definedName name="SampleRate_18" localSheetId="2">Digitizer!#REF!</definedName>
    <definedName name="SampleRate_19" localSheetId="2">Digitizer!#REF!</definedName>
    <definedName name="SampleRate_20" localSheetId="2">Digitizer!#REF!</definedName>
    <definedName name="SampleRate_21" localSheetId="2">Digitizer!#REF!</definedName>
    <definedName name="SampleRate_22" localSheetId="2">Digitizer!#REF!</definedName>
    <definedName name="SampleRate_23" localSheetId="2">Digitizer!#REF!</definedName>
    <definedName name="SampleRate_24" localSheetId="2">Digitizer!#REF!</definedName>
    <definedName name="SampleRate_25" localSheetId="2">Digitizer!#REF!</definedName>
    <definedName name="SampleRate_26" localSheetId="2">Digitizer!#REF!</definedName>
    <definedName name="SampleRate_27" localSheetId="2">Digitizer!#REF!</definedName>
    <definedName name="SampleRate_28" localSheetId="2">Digitizer!#REF!</definedName>
    <definedName name="SampleRate_29" localSheetId="2">Digitizer!#REF!</definedName>
    <definedName name="SampleRate_30" localSheetId="2">Digitizer!#REF!</definedName>
    <definedName name="SampleRate_31" localSheetId="2">Digitizer!#REF!</definedName>
    <definedName name="SampleRate_32" localSheetId="2">Digitizer!#REF!</definedName>
    <definedName name="Samples_01" localSheetId="8">ARB!$M$4</definedName>
    <definedName name="Script_Trigger_01" comment="Configure signal generator for type of triggering" localSheetId="8">ARB!$P$4</definedName>
    <definedName name="SerialNumber_01" localSheetId="8">ARB!$I$4</definedName>
    <definedName name="SerialNumber_01" localSheetId="9">'DC Power Supply'!$I$4</definedName>
    <definedName name="SerialNumber_01" localSheetId="2">Digitizer!$I$3</definedName>
    <definedName name="SerialNumber_01" localSheetId="7">DMM!$I$3</definedName>
    <definedName name="SerialNumber_01" localSheetId="14">Example!$G$3</definedName>
    <definedName name="SerialNumber_01" localSheetId="4">'Foundation Bus'!$I$3</definedName>
    <definedName name="SerialNumber_01" localSheetId="11">FPGA!$I$3</definedName>
    <definedName name="SerialNumber_01" localSheetId="13">Scope!$I$3</definedName>
    <definedName name="SerialNumber_01" localSheetId="6">SpaceWire!$I$4</definedName>
    <definedName name="SerialNumber_01" localSheetId="3">Switch!$I$3</definedName>
    <definedName name="SerialNumber_01" localSheetId="1">Synchronization!$I$3</definedName>
    <definedName name="SerialNumber_02" localSheetId="8">ARB!$I$14</definedName>
    <definedName name="SerialNumber_02" localSheetId="9">'DC Power Supply'!$I$16</definedName>
    <definedName name="SerialNumber_02" localSheetId="2">Digitizer!$I$19</definedName>
    <definedName name="SerialNumber_02" localSheetId="11">FPGA!$I$42</definedName>
    <definedName name="SerialNumber_02" localSheetId="13">Scope!$I$19</definedName>
    <definedName name="SerialNumber_02" localSheetId="6">SpaceWire!$I$17</definedName>
    <definedName name="SerialNumber_02" localSheetId="3">Switch!$I$21</definedName>
    <definedName name="SerialNumber_02" localSheetId="1">Synchronization!$I$46</definedName>
    <definedName name="SerialNumber_03" localSheetId="8">ARB!$I$24</definedName>
    <definedName name="SerialNumber_03" localSheetId="9">'DC Power Supply'!$I$28</definedName>
    <definedName name="SerialNumber_03" localSheetId="2">Digitizer!$I$35</definedName>
    <definedName name="SerialNumber_03" localSheetId="11">FPGA!$I$50</definedName>
    <definedName name="SerialNumber_03" localSheetId="13">Scope!$I$35</definedName>
    <definedName name="SerialNumber_04" localSheetId="9">'DC Power Supply'!$I$40</definedName>
    <definedName name="SerialNumber_04" localSheetId="2">Digitizer!$I$51</definedName>
    <definedName name="SerialNumber_04" localSheetId="13">Scope!$I$51</definedName>
    <definedName name="SerialNumber_05" localSheetId="9">'DC Power Supply'!$I$52</definedName>
    <definedName name="SerialNumber_05" localSheetId="2">Digitizer!$I$67</definedName>
    <definedName name="SerialNumber_05" localSheetId="13">Scope!$I$63</definedName>
    <definedName name="SerialNumber_06" localSheetId="9">'DC Power Supply'!$I$64</definedName>
    <definedName name="SerialNumber_06" localSheetId="2">Digitizer!$I$83</definedName>
    <definedName name="SerialNumber_06" localSheetId="13">Scope!$I$73</definedName>
    <definedName name="SerialNumber_07" localSheetId="9">'DC Power Supply'!$I$73</definedName>
    <definedName name="SerialNumber_07" localSheetId="2">Digitizer!$I$99</definedName>
    <definedName name="SerialNumber_07" localSheetId="13">Scope!$I$85</definedName>
    <definedName name="SerialNumber_08" localSheetId="9">'DC Power Supply'!$I$82</definedName>
    <definedName name="SerialNumber_08" localSheetId="2">Digitizer!$I$115</definedName>
    <definedName name="SerialNumber_09" localSheetId="9">'DC Power Supply'!$I$91</definedName>
    <definedName name="SerialNumber_09" localSheetId="2">Digitizer!$I$131</definedName>
    <definedName name="SerialNumber_10" localSheetId="2">Digitizer!$I$147</definedName>
    <definedName name="SerialNumber_11" localSheetId="2">Digitizer!$I$163</definedName>
    <definedName name="SerialNumber_12" localSheetId="2">Digitizer!$I$179</definedName>
    <definedName name="SerialNumber_13" localSheetId="2">Digitizer!$I$195</definedName>
    <definedName name="SerialNumber_14" localSheetId="2">Digitizer!$I$211</definedName>
    <definedName name="SerialNumber_15" localSheetId="2">Digitizer!$I$227</definedName>
    <definedName name="SerialNumber_16" localSheetId="2">Digitizer!#REF!</definedName>
    <definedName name="SerialNumber_17" localSheetId="2">Digitizer!#REF!</definedName>
    <definedName name="SerialNumber_18" localSheetId="2">Digitizer!#REF!</definedName>
    <definedName name="SerialNumber_19" localSheetId="2">Digitizer!#REF!</definedName>
    <definedName name="SerialNumber_20" localSheetId="2">Digitizer!#REF!</definedName>
    <definedName name="SerialNumber_21" localSheetId="2">Digitizer!#REF!</definedName>
    <definedName name="SerialNumber_22" localSheetId="2">Digitizer!#REF!</definedName>
    <definedName name="SerialNumber_23" localSheetId="2">Digitizer!#REF!</definedName>
    <definedName name="SerialNumber_24" localSheetId="2">Digitizer!#REF!</definedName>
    <definedName name="SerialNumber_25" localSheetId="2">Digitizer!#REF!</definedName>
    <definedName name="SerialNumber_26" localSheetId="2">Digitizer!#REF!</definedName>
    <definedName name="SerialNumber_27" localSheetId="2">Digitizer!#REF!</definedName>
    <definedName name="SerialNumber_28" localSheetId="2">Digitizer!#REF!</definedName>
    <definedName name="SerialNumber_29" localSheetId="2">Digitizer!#REF!</definedName>
    <definedName name="SerialNumber_30" localSheetId="2">Digitizer!#REF!</definedName>
    <definedName name="SerialNumber_31" localSheetId="2">Digitizer!#REF!</definedName>
    <definedName name="SerialNumber_32" localSheetId="2">Digitizer!#REF!</definedName>
    <definedName name="SourceMod_01" localSheetId="5">'FBUS Message(s)'!$C$2</definedName>
    <definedName name="SourceMod_02" localSheetId="5">'FBUS Message(s)'!$J$2</definedName>
    <definedName name="Squib2Resistor00Enabled_01" localSheetId="10">FPGA_SquibEmulation!$AD$4</definedName>
    <definedName name="Squib2Resistor00Enabled_02" localSheetId="10">FPGA_SquibEmulation!$AD$5</definedName>
    <definedName name="Squib2Resistor00Enabled_03" localSheetId="10">FPGA_SquibEmulation!$AD$6</definedName>
    <definedName name="Squib2Resistor00Enabled_04" localSheetId="10">FPGA_SquibEmulation!$AD$7</definedName>
    <definedName name="Squib2Resistor00Enabled_05" localSheetId="10">FPGA_SquibEmulation!$AD$8</definedName>
    <definedName name="Squib2Resistor00Enabled_06" localSheetId="10">FPGA_SquibEmulation!$AD$9</definedName>
    <definedName name="Squib2Resistor00Enabled_07" localSheetId="10">FPGA_SquibEmulation!$AD$10</definedName>
    <definedName name="Squib2Resistor00Enabled_08" localSheetId="10">FPGA_SquibEmulation!$AD$11</definedName>
    <definedName name="Squib2Resistor01Enabled_01" localSheetId="10">FPGA_SquibEmulation!$AE$4</definedName>
    <definedName name="Squib2Resistor01Enabled_02" localSheetId="10">FPGA_SquibEmulation!$AE$5</definedName>
    <definedName name="Squib2Resistor01Enabled_03" localSheetId="10">FPGA_SquibEmulation!$AE$6</definedName>
    <definedName name="Squib2Resistor01Enabled_04" localSheetId="10">FPGA_SquibEmulation!$AE$7</definedName>
    <definedName name="Squib2Resistor01Enabled_05" localSheetId="10">FPGA_SquibEmulation!$AE$8</definedName>
    <definedName name="Squib2Resistor01Enabled_06" localSheetId="10">FPGA_SquibEmulation!$AE$9</definedName>
    <definedName name="Squib2Resistor01Enabled_07" localSheetId="10">FPGA_SquibEmulation!$AE$10</definedName>
    <definedName name="Squib2Resistor01Enabled_08" localSheetId="10">FPGA_SquibEmulation!$AE$11</definedName>
    <definedName name="Squib2Resistor02Enabled_01" localSheetId="10">FPGA_SquibEmulation!$AF$4</definedName>
    <definedName name="Squib2Resistor02Enabled_02" localSheetId="10">FPGA_SquibEmulation!$AF$5</definedName>
    <definedName name="Squib2Resistor02Enabled_03" localSheetId="10">FPGA_SquibEmulation!$AF$6</definedName>
    <definedName name="Squib2Resistor02Enabled_04" localSheetId="10">FPGA_SquibEmulation!$AF$7</definedName>
    <definedName name="Squib2Resistor02Enabled_05" localSheetId="10">FPGA_SquibEmulation!$AF$8</definedName>
    <definedName name="Squib2Resistor02Enabled_06" localSheetId="10">FPGA_SquibEmulation!$AF$9</definedName>
    <definedName name="Squib2Resistor02Enabled_07" localSheetId="10">FPGA_SquibEmulation!$AF$10</definedName>
    <definedName name="Squib2Resistor02Enabled_08" localSheetId="10">FPGA_SquibEmulation!$AF$11</definedName>
    <definedName name="Squib2Resistor03Enabled_01" localSheetId="10">FPGA_SquibEmulation!$AG$4</definedName>
    <definedName name="Squib2Resistor03Enabled_02" localSheetId="10">FPGA_SquibEmulation!$AG$5</definedName>
    <definedName name="Squib2Resistor03Enabled_03" localSheetId="10">FPGA_SquibEmulation!$AG$6</definedName>
    <definedName name="Squib2Resistor03Enabled_04" localSheetId="10">FPGA_SquibEmulation!$AG$7</definedName>
    <definedName name="Squib2Resistor03Enabled_05" localSheetId="10">FPGA_SquibEmulation!$AG$8</definedName>
    <definedName name="Squib2Resistor03Enabled_06" localSheetId="10">FPGA_SquibEmulation!$AG$9</definedName>
    <definedName name="Squib2Resistor03Enabled_07" localSheetId="10">FPGA_SquibEmulation!$AG$10</definedName>
    <definedName name="Squib2Resistor03Enabled_08" localSheetId="10">FPGA_SquibEmulation!$AG$11</definedName>
    <definedName name="Squib2Resistor04Enabled_01" localSheetId="10">FPGA_SquibEmulation!$AH$4</definedName>
    <definedName name="Squib2Resistor04Enabled_02" localSheetId="10">FPGA_SquibEmulation!$AH$5</definedName>
    <definedName name="Squib2Resistor04Enabled_03" localSheetId="10">FPGA_SquibEmulation!$AH$6</definedName>
    <definedName name="Squib2Resistor04Enabled_04" localSheetId="10">FPGA_SquibEmulation!$AH$7</definedName>
    <definedName name="Squib2Resistor04Enabled_05" localSheetId="10">FPGA_SquibEmulation!$AH$8</definedName>
    <definedName name="Squib2Resistor04Enabled_06" localSheetId="10">FPGA_SquibEmulation!$AH$9</definedName>
    <definedName name="Squib2Resistor04Enabled_07" localSheetId="10">FPGA_SquibEmulation!$AH$10</definedName>
    <definedName name="Squib2Resistor04Enabled_08" localSheetId="10">FPGA_SquibEmulation!$AH$11</definedName>
    <definedName name="Squib2Resistor05Enabled_01" localSheetId="10">FPGA_SquibEmulation!$AI$4</definedName>
    <definedName name="Squib2Resistor05Enabled_02" localSheetId="10">FPGA_SquibEmulation!$AI$5</definedName>
    <definedName name="Squib2Resistor05Enabled_03" localSheetId="10">FPGA_SquibEmulation!$AI$6</definedName>
    <definedName name="Squib2Resistor05Enabled_04" localSheetId="10">FPGA_SquibEmulation!$AI$7</definedName>
    <definedName name="Squib2Resistor05Enabled_05" localSheetId="10">FPGA_SquibEmulation!$AI$8</definedName>
    <definedName name="Squib2Resistor05Enabled_06" localSheetId="10">FPGA_SquibEmulation!$AI$9</definedName>
    <definedName name="Squib2Resistor05Enabled_07" localSheetId="10">FPGA_SquibEmulation!$AI$10</definedName>
    <definedName name="Squib2Resistor05Enabled_08" localSheetId="10">FPGA_SquibEmulation!$AI$11</definedName>
    <definedName name="Squib2Resistor06Enabled_01" localSheetId="10">FPGA_SquibEmulation!$AJ$4</definedName>
    <definedName name="Squib2Resistor06Enabled_02" localSheetId="10">FPGA_SquibEmulation!$AJ$5</definedName>
    <definedName name="Squib2Resistor06Enabled_03" localSheetId="10">FPGA_SquibEmulation!$AJ$6</definedName>
    <definedName name="Squib2Resistor06Enabled_04" localSheetId="10">FPGA_SquibEmulation!$AJ$7</definedName>
    <definedName name="Squib2Resistor06Enabled_05" localSheetId="10">FPGA_SquibEmulation!$AJ$8</definedName>
    <definedName name="Squib2Resistor06Enabled_06" localSheetId="10">FPGA_SquibEmulation!$AJ$9</definedName>
    <definedName name="Squib2Resistor06Enabled_07" localSheetId="10">FPGA_SquibEmulation!$AJ$10</definedName>
    <definedName name="Squib2Resistor06Enabled_08" localSheetId="10">FPGA_SquibEmulation!$AJ$11</definedName>
    <definedName name="Squib2Resistor07Enabled_01" localSheetId="10">FPGA_SquibEmulation!$AK$4</definedName>
    <definedName name="Squib2Resistor07Enabled_02" localSheetId="10">FPGA_SquibEmulation!$AK$5</definedName>
    <definedName name="Squib2Resistor07Enabled_03" localSheetId="10">FPGA_SquibEmulation!$AK$6</definedName>
    <definedName name="Squib2Resistor07Enabled_04" localSheetId="10">FPGA_SquibEmulation!$AK$7</definedName>
    <definedName name="Squib2Resistor07Enabled_05" localSheetId="10">FPGA_SquibEmulation!$AK$8</definedName>
    <definedName name="Squib2Resistor07Enabled_06" localSheetId="10">FPGA_SquibEmulation!$AK$9</definedName>
    <definedName name="Squib2Resistor07Enabled_07" localSheetId="10">FPGA_SquibEmulation!$AK$10</definedName>
    <definedName name="Squib2Resistor07Enabled_08" localSheetId="10">FPGA_SquibEmulation!$AK$11</definedName>
    <definedName name="SquibResistor00Enabled_01" localSheetId="10">FPGA_SquibEmulation!$V$4</definedName>
    <definedName name="SquibResistor00Enabled_02" localSheetId="10">FPGA_SquibEmulation!$V$5</definedName>
    <definedName name="SquibResistor00Enabled_03" localSheetId="10">FPGA_SquibEmulation!$V$6</definedName>
    <definedName name="SquibResistor00Enabled_04" localSheetId="10">FPGA_SquibEmulation!$V$7</definedName>
    <definedName name="SquibResistor00Enabled_05" localSheetId="10">FPGA_SquibEmulation!$V$8</definedName>
    <definedName name="SquibResistor00Enabled_06" localSheetId="10">FPGA_SquibEmulation!$V$9</definedName>
    <definedName name="SquibResistor00Enabled_07" localSheetId="10">FPGA_SquibEmulation!$V$10</definedName>
    <definedName name="SquibResistor00Enabled_08" localSheetId="10">FPGA_SquibEmulation!$V$11</definedName>
    <definedName name="SquibResistor01Enabled_01" localSheetId="10">FPGA_SquibEmulation!$W$4</definedName>
    <definedName name="SquibResistor01Enabled_02" localSheetId="10">FPGA_SquibEmulation!$W$5</definedName>
    <definedName name="SquibResistor01Enabled_03" localSheetId="10">FPGA_SquibEmulation!$W$6</definedName>
    <definedName name="SquibResistor01Enabled_04" localSheetId="10">FPGA_SquibEmulation!$W$7</definedName>
    <definedName name="SquibResistor01Enabled_05" localSheetId="10">FPGA_SquibEmulation!$W$8</definedName>
    <definedName name="SquibResistor01Enabled_06" localSheetId="10">FPGA_SquibEmulation!$W$9</definedName>
    <definedName name="SquibResistor01Enabled_07" localSheetId="10">FPGA_SquibEmulation!$W$10</definedName>
    <definedName name="SquibResistor01Enabled_08" localSheetId="10">FPGA_SquibEmulation!$W$11</definedName>
    <definedName name="SquibResistor02Enabled_01" localSheetId="10">FPGA_SquibEmulation!$X$4</definedName>
    <definedName name="SquibResistor02Enabled_02" localSheetId="10">FPGA_SquibEmulation!$X$5</definedName>
    <definedName name="SquibResistor02Enabled_03" localSheetId="10">FPGA_SquibEmulation!$X$6</definedName>
    <definedName name="SquibResistor02Enabled_04" localSheetId="10">FPGA_SquibEmulation!$X$7</definedName>
    <definedName name="SquibResistor02Enabled_05" localSheetId="10">FPGA_SquibEmulation!$X$8</definedName>
    <definedName name="SquibResistor02Enabled_06" localSheetId="10">FPGA_SquibEmulation!$X$9</definedName>
    <definedName name="SquibResistor02Enabled_07" localSheetId="10">FPGA_SquibEmulation!$X$10</definedName>
    <definedName name="SquibResistor02Enabled_08" localSheetId="10">FPGA_SquibEmulation!$X$11</definedName>
    <definedName name="SquibResistor03Enabled_01" localSheetId="10">FPGA_SquibEmulation!$Y$4</definedName>
    <definedName name="SquibResistor03Enabled_02" localSheetId="10">FPGA_SquibEmulation!$Y$5</definedName>
    <definedName name="SquibResistor03Enabled_03" localSheetId="10">FPGA_SquibEmulation!$Y$6</definedName>
    <definedName name="SquibResistor03Enabled_04" localSheetId="10">FPGA_SquibEmulation!$Y$7</definedName>
    <definedName name="SquibResistor03Enabled_05" localSheetId="10">FPGA_SquibEmulation!$Y$8</definedName>
    <definedName name="SquibResistor03Enabled_06" localSheetId="10">FPGA_SquibEmulation!$Y$9</definedName>
    <definedName name="SquibResistor03Enabled_07" localSheetId="10">FPGA_SquibEmulation!$Y$10</definedName>
    <definedName name="SquibResistor03Enabled_08" localSheetId="10">FPGA_SquibEmulation!$Y$11</definedName>
    <definedName name="SquibResistor04Enabled_01" localSheetId="10">FPGA_SquibEmulation!$Z$4</definedName>
    <definedName name="SquibResistor04Enabled_02" localSheetId="10">FPGA_SquibEmulation!$Z$5</definedName>
    <definedName name="SquibResistor04Enabled_03" localSheetId="10">FPGA_SquibEmulation!$Z$6</definedName>
    <definedName name="SquibResistor04Enabled_04" localSheetId="10">FPGA_SquibEmulation!$Z$7</definedName>
    <definedName name="SquibResistor04Enabled_05" localSheetId="10">FPGA_SquibEmulation!$Z$8</definedName>
    <definedName name="SquibResistor04Enabled_06" localSheetId="10">FPGA_SquibEmulation!$Z$9</definedName>
    <definedName name="SquibResistor04Enabled_07" localSheetId="10">FPGA_SquibEmulation!$Z$10</definedName>
    <definedName name="SquibResistor04Enabled_08" localSheetId="10">FPGA_SquibEmulation!$Z$11</definedName>
    <definedName name="SquibResistor05Enabled_01" localSheetId="10">FPGA_SquibEmulation!$AA$4</definedName>
    <definedName name="SquibResistor05Enabled_02" localSheetId="10">FPGA_SquibEmulation!$AA$5</definedName>
    <definedName name="SquibResistor05Enabled_03" localSheetId="10">FPGA_SquibEmulation!$AA$6</definedName>
    <definedName name="SquibResistor05Enabled_04" localSheetId="10">FPGA_SquibEmulation!$AA$7</definedName>
    <definedName name="SquibResistor05Enabled_05" localSheetId="10">FPGA_SquibEmulation!$AA$8</definedName>
    <definedName name="SquibResistor05Enabled_06" localSheetId="10">FPGA_SquibEmulation!$AA$9</definedName>
    <definedName name="SquibResistor05Enabled_07" localSheetId="10">FPGA_SquibEmulation!$AA$10</definedName>
    <definedName name="SquibResistor05Enabled_08" localSheetId="10">FPGA_SquibEmulation!$AA$11</definedName>
    <definedName name="SquibResistor06Enabled_01" localSheetId="10">FPGA_SquibEmulation!$AB$4</definedName>
    <definedName name="SquibResistor06Enabled_02" localSheetId="10">FPGA_SquibEmulation!$AB$5</definedName>
    <definedName name="SquibResistor06Enabled_03" localSheetId="10">FPGA_SquibEmulation!$AB$6</definedName>
    <definedName name="SquibResistor06Enabled_04" localSheetId="10">FPGA_SquibEmulation!$AB$7</definedName>
    <definedName name="SquibResistor06Enabled_05" localSheetId="10">FPGA_SquibEmulation!$AB$8</definedName>
    <definedName name="SquibResistor06Enabled_06" localSheetId="10">FPGA_SquibEmulation!$AB$9</definedName>
    <definedName name="SquibResistor06Enabled_07" localSheetId="10">FPGA_SquibEmulation!$AB$10</definedName>
    <definedName name="SquibResistor06Enabled_08" localSheetId="10">FPGA_SquibEmulation!$AB$11</definedName>
    <definedName name="SquibResistor07Enabled_01" localSheetId="10">FPGA_SquibEmulation!$AC$4</definedName>
    <definedName name="SquibResistor07Enabled_02" localSheetId="10">FPGA_SquibEmulation!$AC$5</definedName>
    <definedName name="SquibResistor07Enabled_03" localSheetId="10">FPGA_SquibEmulation!$AC$6</definedName>
    <definedName name="SquibResistor07Enabled_04" localSheetId="10">FPGA_SquibEmulation!$AC$7</definedName>
    <definedName name="SquibResistor07Enabled_05" localSheetId="10">FPGA_SquibEmulation!$AC$8</definedName>
    <definedName name="SquibResistor07Enabled_06" localSheetId="10">FPGA_SquibEmulation!$AC$9</definedName>
    <definedName name="SquibResistor07Enabled_07" localSheetId="10">FPGA_SquibEmulation!$AC$10</definedName>
    <definedName name="SquibResistor07Enabled_08" localSheetId="10">FPGA_SquibEmulation!$AC$11</definedName>
    <definedName name="SW_Alias" localSheetId="8">ARB!$E$24</definedName>
    <definedName name="SwitchAlias_01" localSheetId="7">DMM!$L$3</definedName>
    <definedName name="SyncDivide1_01" localSheetId="1">Synchronization!$N$3</definedName>
    <definedName name="SyncDivide1_02" localSheetId="1">Synchronization!$N$46</definedName>
    <definedName name="SyncDivide2_01" localSheetId="1">Synchronization!$O$3</definedName>
    <definedName name="SyncDivide2_02" localSheetId="1">Synchronization!$O$46</definedName>
    <definedName name="SynchronizationClock_01" localSheetId="1">Synchronization!$L$3</definedName>
    <definedName name="SynchronizationClock_02" localSheetId="1">Synchronization!$L$46</definedName>
    <definedName name="Timed_Event_Override_01" localSheetId="12">'PXIe-7867R_01_Timing'!$E$2</definedName>
    <definedName name="Timed_Event_Pins_01" localSheetId="12">'PXIe-7867R_01_Timing'!$C$2</definedName>
    <definedName name="Timed_Event_States_01" localSheetId="12">'PXIe-7867R_01_Timing'!$D$2</definedName>
    <definedName name="Timed_Event_Time_01" localSheetId="12">'PXIe-7867R_01_Timing'!$A$2</definedName>
    <definedName name="Timed_Special_Event_01" localSheetId="12">'PXIe-7867R_01_Timing'!$B$2</definedName>
    <definedName name="TimestampRes_01" localSheetId="4">'Foundation Bus'!$N$3</definedName>
    <definedName name="TimeToSend_01" localSheetId="5">'FBUS Message(s)'!$B$2</definedName>
    <definedName name="TimeToSend_02" localSheetId="5">'FBUS Message(s)'!$I$2</definedName>
    <definedName name="Topology_01" localSheetId="7">DMM!$M$3</definedName>
    <definedName name="Topology_01" localSheetId="3">Switch!$L$3</definedName>
    <definedName name="Topology_02" localSheetId="3">Switch!$L$21</definedName>
    <definedName name="TrigDest_01" localSheetId="2">Digitizer!$Q$3</definedName>
    <definedName name="TrigDest_01" localSheetId="13">Scope!$T$3</definedName>
    <definedName name="TrigDest_02" localSheetId="2">Digitizer!$Q$19</definedName>
    <definedName name="TrigDest_02" localSheetId="13">Scope!$T$19</definedName>
    <definedName name="TrigDest_03" localSheetId="2">Digitizer!$Q$35</definedName>
    <definedName name="TrigDest_03" localSheetId="13">Scope!$T$35</definedName>
    <definedName name="TrigDest_04" localSheetId="2">Digitizer!$Q$51</definedName>
    <definedName name="TrigDest_04" localSheetId="13">Scope!$T$51</definedName>
    <definedName name="TrigDest_05" localSheetId="2">Digitizer!$Q$67</definedName>
    <definedName name="TrigDest_05" localSheetId="13">Scope!$T$63</definedName>
    <definedName name="TrigDest_06" localSheetId="2">Digitizer!$Q$83</definedName>
    <definedName name="TrigDest_06" localSheetId="13">Scope!$T$73</definedName>
    <definedName name="TrigDest_07" localSheetId="2">Digitizer!$Q$99</definedName>
    <definedName name="TrigDest_07" localSheetId="13">Scope!$T$85</definedName>
    <definedName name="TrigDest_08" localSheetId="2">Digitizer!$Q$115</definedName>
    <definedName name="TrigDest_09" localSheetId="2">Digitizer!$Q$131</definedName>
    <definedName name="TrigDest_10" localSheetId="2">Digitizer!$Q$147</definedName>
    <definedName name="TrigDest_11" localSheetId="2">Digitizer!$Q$163</definedName>
    <definedName name="TrigDest_12" localSheetId="2">Digitizer!$Q$179</definedName>
    <definedName name="TrigDest_13" localSheetId="2">Digitizer!$Q$195</definedName>
    <definedName name="TrigDest_14" localSheetId="2">Digitizer!$Q$211</definedName>
    <definedName name="TrigDest_15" localSheetId="2">Digitizer!$Q$227</definedName>
    <definedName name="TrigDest_16" localSheetId="2">Digitizer!#REF!</definedName>
    <definedName name="TrigDest_17" localSheetId="2">Digitizer!#REF!</definedName>
    <definedName name="TrigDest_18" localSheetId="2">Digitizer!#REF!</definedName>
    <definedName name="TrigDest_19" localSheetId="2">Digitizer!#REF!</definedName>
    <definedName name="TrigDest_20" localSheetId="2">Digitizer!#REF!</definedName>
    <definedName name="TrigDest_21" localSheetId="2">Digitizer!#REF!</definedName>
    <definedName name="TrigDest_22" localSheetId="2">Digitizer!#REF!</definedName>
    <definedName name="TrigDest_23" localSheetId="2">Digitizer!#REF!</definedName>
    <definedName name="TrigDest_24" localSheetId="2">Digitizer!#REF!</definedName>
    <definedName name="TrigDest_25" localSheetId="2">Digitizer!#REF!</definedName>
    <definedName name="TrigDest_26" localSheetId="2">Digitizer!#REF!</definedName>
    <definedName name="TrigDest_27" localSheetId="2">Digitizer!#REF!</definedName>
    <definedName name="TrigDest_28" localSheetId="2">Digitizer!#REF!</definedName>
    <definedName name="TrigDest_29" localSheetId="2">Digitizer!#REF!</definedName>
    <definedName name="TrigDest_30" localSheetId="2">Digitizer!#REF!</definedName>
    <definedName name="TrigDest_31" localSheetId="2">Digitizer!#REF!</definedName>
    <definedName name="TrigDest_32" localSheetId="2">Digitizer!#REF!</definedName>
    <definedName name="TriggerCoupling_01" localSheetId="13">Scope!$O$3</definedName>
    <definedName name="TriggerCoupling_02" localSheetId="13">Scope!$O$19</definedName>
    <definedName name="TriggerCoupling_03" localSheetId="13">Scope!$O$35</definedName>
    <definedName name="TriggerCoupling_04" localSheetId="13">Scope!$O$51</definedName>
    <definedName name="TriggerCoupling_05" localSheetId="13">Scope!$O$63</definedName>
    <definedName name="TriggerCoupling_06" localSheetId="13">Scope!$O$73</definedName>
    <definedName name="TriggerCoupling_07" localSheetId="13">Scope!$O$85</definedName>
    <definedName name="TriggerLevel1_01" localSheetId="13">Scope!$Q$3</definedName>
    <definedName name="TriggerLevel1_02" localSheetId="13">Scope!$Q$19</definedName>
    <definedName name="TriggerLevel1_03" localSheetId="13">Scope!$Q$35</definedName>
    <definedName name="TriggerLevel1_04" localSheetId="13">Scope!$Q$51</definedName>
    <definedName name="TriggerLevel1_05" localSheetId="13">Scope!$Q$63</definedName>
    <definedName name="TriggerLevel1_06" localSheetId="13">Scope!$Q$73</definedName>
    <definedName name="TriggerLevel1_07" localSheetId="13">Scope!$Q$85</definedName>
    <definedName name="TriggerLevel2_01" localSheetId="13">Scope!$R$3</definedName>
    <definedName name="TriggerLevel2_02" localSheetId="13">Scope!$R$19</definedName>
    <definedName name="TriggerLevel2_03" localSheetId="13">Scope!$R$35</definedName>
    <definedName name="TriggerLevel2_04" localSheetId="13">Scope!$R$51</definedName>
    <definedName name="TriggerLevel2_05" localSheetId="13">Scope!$R$63</definedName>
    <definedName name="TriggerLevel2_06" localSheetId="13">Scope!$R$73</definedName>
    <definedName name="TriggerLevel2_07" localSheetId="13">Scope!$R$85</definedName>
    <definedName name="TriggerSource_01" localSheetId="4">'Foundation Bus'!$M$3</definedName>
    <definedName name="TriggerSource_01" localSheetId="13">Scope!$P$3</definedName>
    <definedName name="TriggerSource_02" localSheetId="13">Scope!$P$19</definedName>
    <definedName name="TriggerSource_03" localSheetId="13">Scope!$P$35</definedName>
    <definedName name="TriggerSource_04" localSheetId="13">Scope!$P$51</definedName>
    <definedName name="TriggerSource_05" localSheetId="13">Scope!$P$63</definedName>
    <definedName name="TriggerSource_06" localSheetId="13">Scope!$P$73</definedName>
    <definedName name="TriggerSource_07" localSheetId="13">Scope!$P$85</definedName>
    <definedName name="TriggerType_01" localSheetId="13">Scope!$N$3</definedName>
    <definedName name="TriggerType_02" localSheetId="13">Scope!$N$19</definedName>
    <definedName name="TriggerType_03" localSheetId="13">Scope!$N$35</definedName>
    <definedName name="TriggerType_04" localSheetId="13">Scope!$N$51</definedName>
    <definedName name="TriggerType_05" localSheetId="13">Scope!$N$63</definedName>
    <definedName name="TriggerType_06" localSheetId="13">Scope!$N$73</definedName>
    <definedName name="TriggerType_07" localSheetId="13">Scope!$N$85</definedName>
    <definedName name="TriggerWindowHigh_01" localSheetId="11">FPGA!$N$3</definedName>
    <definedName name="TriggerWindowHigh_03" localSheetId="11">FPGA!$N$50</definedName>
    <definedName name="TriggerWindowLow_01" localSheetId="11">FPGA!$M$3</definedName>
    <definedName name="TriggerWindowLow_03" localSheetId="11">FPGA!$M$50</definedName>
    <definedName name="TrigGroup_01" localSheetId="13">Scope!$U$3</definedName>
    <definedName name="TrigGroup_02" localSheetId="13">Scope!$U$19</definedName>
    <definedName name="TrigGroup_03" localSheetId="13">Scope!$U$35</definedName>
    <definedName name="TrigGroup_04" localSheetId="13">Scope!$U$51</definedName>
    <definedName name="TrigGroup_05" localSheetId="13">Scope!$U$63</definedName>
    <definedName name="TrigGroup_06" localSheetId="13">Scope!$U$73</definedName>
    <definedName name="TrigGroup_07" localSheetId="13">Scope!$U$85</definedName>
    <definedName name="TrigLevel_01" localSheetId="2">Digitizer!$O$3</definedName>
    <definedName name="TrigLevel_02" localSheetId="2">Digitizer!$O$19</definedName>
    <definedName name="TrigLevel_03" localSheetId="2">Digitizer!$O$35</definedName>
    <definedName name="TrigLevel_04" localSheetId="2">Digitizer!$O$51</definedName>
    <definedName name="TrigLevel_05" localSheetId="2">Digitizer!$O$67</definedName>
    <definedName name="TrigLevel_06" localSheetId="2">Digitizer!$O$83</definedName>
    <definedName name="TrigLevel_07" localSheetId="2">Digitizer!$O$99</definedName>
    <definedName name="TrigLevel_08" localSheetId="2">Digitizer!$O$115</definedName>
    <definedName name="TrigLevel_09" localSheetId="2">Digitizer!$O$131</definedName>
    <definedName name="TrigLevel_10" localSheetId="2">Digitizer!$O$147</definedName>
    <definedName name="TrigLevel_11" localSheetId="2">Digitizer!$O$163</definedName>
    <definedName name="TrigLevel_12" localSheetId="2">Digitizer!$O$179</definedName>
    <definedName name="TrigLevel_13" localSheetId="2">Digitizer!$O$195</definedName>
    <definedName name="TrigLevel_14" localSheetId="2">Digitizer!$O$211</definedName>
    <definedName name="TrigLevel_15" localSheetId="2">Digitizer!$O$227</definedName>
    <definedName name="TrigLevel_16" localSheetId="2">Digitizer!#REF!</definedName>
    <definedName name="TrigLevel_17" localSheetId="2">Digitizer!#REF!</definedName>
    <definedName name="TrigLevel_18" localSheetId="2">Digitizer!#REF!</definedName>
    <definedName name="TrigLevel_19" localSheetId="2">Digitizer!#REF!</definedName>
    <definedName name="TrigLevel_20" localSheetId="2">Digitizer!#REF!</definedName>
    <definedName name="TrigLevel_21" localSheetId="2">Digitizer!#REF!</definedName>
    <definedName name="TrigLevel_22" localSheetId="2">Digitizer!#REF!</definedName>
    <definedName name="TrigLevel_23" localSheetId="2">Digitizer!#REF!</definedName>
    <definedName name="TrigLevel_24" localSheetId="2">Digitizer!#REF!</definedName>
    <definedName name="TrigLevel_25" localSheetId="2">Digitizer!#REF!</definedName>
    <definedName name="TrigLevel_26" localSheetId="2">Digitizer!#REF!</definedName>
    <definedName name="TrigLevel_27" localSheetId="2">Digitizer!#REF!</definedName>
    <definedName name="TrigLevel_28" localSheetId="2">Digitizer!#REF!</definedName>
    <definedName name="TrigLevel_29" localSheetId="2">Digitizer!#REF!</definedName>
    <definedName name="TrigLevel_30" localSheetId="2">Digitizer!#REF!</definedName>
    <definedName name="TrigLevel_31" localSheetId="2">Digitizer!#REF!</definedName>
    <definedName name="TrigLevel_32" localSheetId="2">Digitizer!#REF!</definedName>
    <definedName name="TrigSlope_01" localSheetId="2">Digitizer!$R$3</definedName>
    <definedName name="TrigSlope_02" localSheetId="2">Digitizer!$R$19</definedName>
    <definedName name="TrigSlope_03" localSheetId="2">Digitizer!$R$35</definedName>
    <definedName name="TrigSlope_04" localSheetId="2">Digitizer!$R$51</definedName>
    <definedName name="TrigSlope_05" localSheetId="2">Digitizer!$R$67</definedName>
    <definedName name="TrigSlope_06" localSheetId="2">Digitizer!$R$83</definedName>
    <definedName name="TrigSlope_07" localSheetId="2">Digitizer!$R$99</definedName>
    <definedName name="TrigSlope_08" localSheetId="2">Digitizer!$R$115</definedName>
    <definedName name="TrigSlope_09" localSheetId="2">Digitizer!$R$131</definedName>
    <definedName name="TrigSlope_10" localSheetId="2">Digitizer!$R$147</definedName>
    <definedName name="TrigSlope_11" localSheetId="2">Digitizer!$R$163</definedName>
    <definedName name="TrigSlope_12" localSheetId="2">Digitizer!$R$179</definedName>
    <definedName name="TrigSlope_13" localSheetId="2">Digitizer!$R$195</definedName>
    <definedName name="TrigSlope_14" localSheetId="2">Digitizer!$R$211</definedName>
    <definedName name="TrigSlope_15" localSheetId="2">Digitizer!$R$227</definedName>
    <definedName name="TrigSlope_16" localSheetId="2">Digitizer!#REF!</definedName>
    <definedName name="TrigSlope_17" localSheetId="2">Digitizer!#REF!</definedName>
    <definedName name="TrigSlope_18" localSheetId="2">Digitizer!#REF!</definedName>
    <definedName name="TrigSlope_19" localSheetId="2">Digitizer!#REF!</definedName>
    <definedName name="TrigSlope_20" localSheetId="2">Digitizer!#REF!</definedName>
    <definedName name="TrigSlope_21" localSheetId="2">Digitizer!#REF!</definedName>
    <definedName name="TrigSlope_22" localSheetId="2">Digitizer!#REF!</definedName>
    <definedName name="TrigSlope_23" localSheetId="2">Digitizer!#REF!</definedName>
    <definedName name="TrigSlope_24" localSheetId="2">Digitizer!#REF!</definedName>
    <definedName name="TrigSlope_25" localSheetId="2">Digitizer!#REF!</definedName>
    <definedName name="TrigSlope_26" localSheetId="2">Digitizer!#REF!</definedName>
    <definedName name="TrigSlope_27" localSheetId="2">Digitizer!#REF!</definedName>
    <definedName name="TrigSlope_28" localSheetId="2">Digitizer!#REF!</definedName>
    <definedName name="TrigSlope_29" localSheetId="2">Digitizer!#REF!</definedName>
    <definedName name="TrigSlope_30" localSheetId="2">Digitizer!#REF!</definedName>
    <definedName name="TrigSlope_31" localSheetId="2">Digitizer!#REF!</definedName>
    <definedName name="TrigSlope_32" localSheetId="2">Digitizer!#REF!</definedName>
    <definedName name="TrigSource_01" localSheetId="2">Digitizer!$P$3</definedName>
    <definedName name="TrigSource_02" localSheetId="2">Digitizer!$P$19</definedName>
    <definedName name="TrigSource_03" localSheetId="2">Digitizer!$P$35</definedName>
    <definedName name="TrigSource_04" localSheetId="2">Digitizer!$P$51</definedName>
    <definedName name="TrigSource_05" localSheetId="2">Digitizer!$P$67</definedName>
    <definedName name="TrigSource_06" localSheetId="2">Digitizer!$P$83</definedName>
    <definedName name="TrigSource_07" localSheetId="2">Digitizer!$P$99</definedName>
    <definedName name="TrigSource_08" localSheetId="2">Digitizer!$P$115</definedName>
    <definedName name="TrigSource_09" localSheetId="2">Digitizer!$P$131</definedName>
    <definedName name="TrigSource_10" localSheetId="2">Digitizer!$P$147</definedName>
    <definedName name="TrigSource_11" localSheetId="2">Digitizer!$P$163</definedName>
    <definedName name="TrigSource_12" localSheetId="2">Digitizer!$P$179</definedName>
    <definedName name="TrigSource_13" localSheetId="2">Digitizer!$P$195</definedName>
    <definedName name="TrigSource_14" localSheetId="2">Digitizer!$P$211</definedName>
    <definedName name="TrigSource_15" localSheetId="2">Digitizer!$P$227</definedName>
    <definedName name="TrigSource_16" localSheetId="2">Digitizer!#REF!</definedName>
    <definedName name="TrigSource_17" localSheetId="2">Digitizer!#REF!</definedName>
    <definedName name="TrigSource_18" localSheetId="2">Digitizer!#REF!</definedName>
    <definedName name="TrigSource_19" localSheetId="2">Digitizer!#REF!</definedName>
    <definedName name="TrigSource_20" localSheetId="2">Digitizer!#REF!</definedName>
    <definedName name="TrigSource_21" localSheetId="2">Digitizer!#REF!</definedName>
    <definedName name="TrigSource_22" localSheetId="2">Digitizer!#REF!</definedName>
    <definedName name="TrigSource_23" localSheetId="2">Digitizer!#REF!</definedName>
    <definedName name="TrigSource_24" localSheetId="2">Digitizer!#REF!</definedName>
    <definedName name="TrigSource_25" localSheetId="2">Digitizer!#REF!</definedName>
    <definedName name="TrigSource_26" localSheetId="2">Digitizer!#REF!</definedName>
    <definedName name="TrigSource_27" localSheetId="2">Digitizer!#REF!</definedName>
    <definedName name="TrigSource_28" localSheetId="2">Digitizer!#REF!</definedName>
    <definedName name="TrigSource_29" localSheetId="2">Digitizer!#REF!</definedName>
    <definedName name="TrigSource_30" localSheetId="2">Digitizer!#REF!</definedName>
    <definedName name="TrigSource_31" localSheetId="2">Digitizer!#REF!</definedName>
    <definedName name="TrigSource_32" localSheetId="2">Digitizer!#REF!</definedName>
    <definedName name="TrigType_01" localSheetId="2">Digitizer!$N$3</definedName>
    <definedName name="TrigType_02" localSheetId="2">Digitizer!$N$19</definedName>
    <definedName name="TrigType_03" localSheetId="2">Digitizer!$N$35</definedName>
    <definedName name="TrigType_04" localSheetId="2">Digitizer!$N$51</definedName>
    <definedName name="TrigType_05" localSheetId="2">Digitizer!$N$67</definedName>
    <definedName name="TrigType_06" localSheetId="2">Digitizer!$N$83</definedName>
    <definedName name="TrigType_07" localSheetId="2">Digitizer!$N$99</definedName>
    <definedName name="TrigType_08" localSheetId="2">Digitizer!$N$115</definedName>
    <definedName name="TrigType_09" localSheetId="2">Digitizer!$N$131</definedName>
    <definedName name="TrigType_10" localSheetId="2">Digitizer!$N$147</definedName>
    <definedName name="TrigType_11" localSheetId="2">Digitizer!$N$163</definedName>
    <definedName name="TrigType_12" localSheetId="2">Digitizer!$N$179</definedName>
    <definedName name="TrigType_13" localSheetId="2">Digitizer!$N$195</definedName>
    <definedName name="TrigType_14" localSheetId="2">Digitizer!$N$211</definedName>
    <definedName name="TrigType_15" localSheetId="2">Digitizer!$N$227</definedName>
    <definedName name="TrigType_16" localSheetId="2">Digitizer!#REF!</definedName>
    <definedName name="TrigType_17" localSheetId="2">Digitizer!#REF!</definedName>
    <definedName name="TrigType_18" localSheetId="2">Digitizer!#REF!</definedName>
    <definedName name="TrigType_19" localSheetId="2">Digitizer!#REF!</definedName>
    <definedName name="TrigType_20" localSheetId="2">Digitizer!#REF!</definedName>
    <definedName name="TrigType_21" localSheetId="2">Digitizer!#REF!</definedName>
    <definedName name="TrigType_22" localSheetId="2">Digitizer!#REF!</definedName>
    <definedName name="TrigType_23" localSheetId="2">Digitizer!#REF!</definedName>
    <definedName name="TrigType_24" localSheetId="2">Digitizer!#REF!</definedName>
    <definedName name="TrigType_25" localSheetId="2">Digitizer!#REF!</definedName>
    <definedName name="TrigType_26" localSheetId="2">Digitizer!#REF!</definedName>
    <definedName name="TrigType_27" localSheetId="2">Digitizer!#REF!</definedName>
    <definedName name="TrigType_28" localSheetId="2">Digitizer!#REF!</definedName>
    <definedName name="TrigType_29" localSheetId="2">Digitizer!#REF!</definedName>
    <definedName name="TrigType_30" localSheetId="2">Digitizer!#REF!</definedName>
    <definedName name="TrigType_31" localSheetId="2">Digitizer!#REF!</definedName>
    <definedName name="TrigType_32" localSheetId="2">Digitizer!#REF!</definedName>
    <definedName name="Type_01" localSheetId="8">ARB!$A$4</definedName>
    <definedName name="Type_01" localSheetId="9">'DC Power Supply'!$A$4</definedName>
    <definedName name="Type_01" localSheetId="2">Digitizer!$A$3</definedName>
    <definedName name="Type_01" localSheetId="7">DMM!$A$3</definedName>
    <definedName name="Type_01" localSheetId="14">Example!$A$3</definedName>
    <definedName name="Type_01" localSheetId="4">'Foundation Bus'!$A$3</definedName>
    <definedName name="Type_01" localSheetId="11">FPGA!$A$3</definedName>
    <definedName name="Type_01" localSheetId="13">Scope!$A$3</definedName>
    <definedName name="Type_01" localSheetId="6">SpaceWire!$A$4</definedName>
    <definedName name="Type_01" localSheetId="3">Switch!$A$3</definedName>
    <definedName name="Type_01" localSheetId="1">Synchronization!$A$3</definedName>
    <definedName name="Type_02" localSheetId="8">ARB!$A$14</definedName>
    <definedName name="Type_02" localSheetId="9">'DC Power Supply'!$A$16</definedName>
    <definedName name="Type_02" localSheetId="2">Digitizer!$A$19</definedName>
    <definedName name="Type_02" localSheetId="11">FPGA!$A$42</definedName>
    <definedName name="Type_02" localSheetId="13">Scope!$A$19</definedName>
    <definedName name="Type_02" localSheetId="6">SpaceWire!$A$17</definedName>
    <definedName name="Type_02" localSheetId="3">Switch!$A$21</definedName>
    <definedName name="Type_02" localSheetId="1">Synchronization!$A$46</definedName>
    <definedName name="Type_03" localSheetId="8">ARB!$A$24</definedName>
    <definedName name="Type_03" localSheetId="9">'DC Power Supply'!$A$28</definedName>
    <definedName name="Type_03" localSheetId="2">Digitizer!$A$35</definedName>
    <definedName name="Type_03" localSheetId="11">FPGA!$A$50</definedName>
    <definedName name="Type_03" localSheetId="13">Scope!$A$35</definedName>
    <definedName name="Type_04" localSheetId="9">'DC Power Supply'!$A$40</definedName>
    <definedName name="Type_04" localSheetId="2">Digitizer!$A$51</definedName>
    <definedName name="Type_04" localSheetId="13">Scope!$A$51</definedName>
    <definedName name="Type_05" localSheetId="9">'DC Power Supply'!$A$52</definedName>
    <definedName name="Type_05" localSheetId="2">Digitizer!$A$67</definedName>
    <definedName name="Type_05" localSheetId="13">Scope!$A$63</definedName>
    <definedName name="Type_06" localSheetId="9">'DC Power Supply'!$A$64</definedName>
    <definedName name="Type_06" localSheetId="2">Digitizer!$A$83</definedName>
    <definedName name="Type_06" localSheetId="13">Scope!$A$73</definedName>
    <definedName name="Type_07" localSheetId="9">'DC Power Supply'!$A$73</definedName>
    <definedName name="Type_07" localSheetId="2">Digitizer!$A$99</definedName>
    <definedName name="Type_07" localSheetId="13">Scope!$A$85</definedName>
    <definedName name="Type_08" localSheetId="9">'DC Power Supply'!$A$82</definedName>
    <definedName name="Type_08" localSheetId="2">Digitizer!$A$115</definedName>
    <definedName name="Type_09" localSheetId="9">'DC Power Supply'!$A$91</definedName>
    <definedName name="Type_09" localSheetId="2">Digitizer!$A$131</definedName>
    <definedName name="Type_10" localSheetId="2">Digitizer!$A$147</definedName>
    <definedName name="Type_11" localSheetId="2">Digitizer!$A$163</definedName>
    <definedName name="Type_12" localSheetId="2">Digitizer!$A$179</definedName>
    <definedName name="Type_13" localSheetId="2">Digitizer!$A$195</definedName>
    <definedName name="Type_14" localSheetId="2">Digitizer!$A$211</definedName>
    <definedName name="Type_15" localSheetId="2">Digitizer!$A$227</definedName>
    <definedName name="Type_16" localSheetId="2">Digitizer!#REF!</definedName>
    <definedName name="Type_17" localSheetId="2">Digitizer!#REF!</definedName>
    <definedName name="Type_18" localSheetId="2">Digitizer!#REF!</definedName>
    <definedName name="Type_19" localSheetId="2">Digitizer!#REF!</definedName>
    <definedName name="Type_20" localSheetId="2">Digitizer!#REF!</definedName>
    <definedName name="Type_21" localSheetId="2">Digitizer!#REF!</definedName>
    <definedName name="Type_22" localSheetId="2">Digitizer!#REF!</definedName>
    <definedName name="Type_23" localSheetId="2">Digitizer!#REF!</definedName>
    <definedName name="Type_24" localSheetId="2">Digitizer!#REF!</definedName>
    <definedName name="Type_25" localSheetId="2">Digitizer!#REF!</definedName>
    <definedName name="Type_26" localSheetId="2">Digitizer!#REF!</definedName>
    <definedName name="Type_27" localSheetId="2">Digitizer!#REF!</definedName>
    <definedName name="Type_28" localSheetId="2">Digitizer!#REF!</definedName>
    <definedName name="Type_29" localSheetId="2">Digitizer!#REF!</definedName>
    <definedName name="Type_30" localSheetId="2">Digitizer!#REF!</definedName>
    <definedName name="Type_31" localSheetId="2">Digitizer!#REF!</definedName>
    <definedName name="Type_32" localSheetId="2">Digitizer!#REF!</definedName>
    <definedName name="UART_BitOrder_01" localSheetId="11">FPGA!$O$3</definedName>
    <definedName name="UART_MessageLength_01" localSheetId="11">FPGA!$P$3</definedName>
    <definedName name="UART_SampleRate_01" localSheetId="11">FPGA!$Q$3</definedName>
    <definedName name="unknown" localSheetId="8">ARB!$E$4</definedName>
    <definedName name="Version" localSheetId="0">Version!$B$1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85" i="13" l="1"/>
  <c r="M73" i="13"/>
  <c r="M63" i="13"/>
  <c r="M51" i="13"/>
  <c r="M35" i="13"/>
  <c r="M19" i="13"/>
  <c r="M3" i="13"/>
  <c r="AS22" i="10"/>
  <c r="AR22" i="10"/>
  <c r="AQ22" i="10"/>
  <c r="AP22" i="10"/>
  <c r="AO22" i="10"/>
  <c r="AN22" i="10"/>
  <c r="AM22" i="10"/>
  <c r="AL22" i="10"/>
  <c r="AK22" i="10"/>
  <c r="AJ22" i="10"/>
  <c r="AI22" i="10"/>
  <c r="AH22" i="10"/>
  <c r="AG22" i="10"/>
  <c r="AF22" i="10"/>
  <c r="AE22" i="10"/>
  <c r="AD22" i="10"/>
  <c r="AC22" i="10"/>
  <c r="AB22" i="10"/>
  <c r="AA22" i="10"/>
  <c r="Z22" i="10"/>
  <c r="Y22" i="10"/>
  <c r="X22" i="10"/>
  <c r="W22" i="10"/>
  <c r="E11" i="10" s="1"/>
  <c r="V22" i="10"/>
  <c r="U22" i="10"/>
  <c r="T22" i="10"/>
  <c r="S22" i="10"/>
  <c r="R22" i="10"/>
  <c r="Q22" i="10"/>
  <c r="P22" i="10"/>
  <c r="O22" i="10"/>
  <c r="N22" i="10"/>
  <c r="A22" i="10"/>
  <c r="AS21" i="10"/>
  <c r="AR21" i="10"/>
  <c r="AQ21" i="10"/>
  <c r="AP21" i="10"/>
  <c r="AO21"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A21" i="10"/>
  <c r="AS20" i="10"/>
  <c r="AR20" i="10"/>
  <c r="AQ20" i="10"/>
  <c r="AP20" i="10"/>
  <c r="AO20" i="10"/>
  <c r="H9" i="10" s="1"/>
  <c r="AN20" i="10"/>
  <c r="AM20" i="10"/>
  <c r="AL20" i="10"/>
  <c r="AK20" i="10"/>
  <c r="AJ20" i="10"/>
  <c r="AI20" i="10"/>
  <c r="AH20" i="10"/>
  <c r="AG20" i="10"/>
  <c r="AF20" i="10"/>
  <c r="AE20" i="10"/>
  <c r="AD20" i="10"/>
  <c r="AC20" i="10"/>
  <c r="AB20" i="10"/>
  <c r="AA20" i="10"/>
  <c r="Z20" i="10"/>
  <c r="Y20" i="10"/>
  <c r="E9" i="10" s="1"/>
  <c r="X20" i="10"/>
  <c r="W20" i="10"/>
  <c r="V20" i="10"/>
  <c r="U20" i="10"/>
  <c r="T20" i="10"/>
  <c r="S20" i="10"/>
  <c r="R20" i="10"/>
  <c r="Q20" i="10"/>
  <c r="P20" i="10"/>
  <c r="C9" i="10" s="1"/>
  <c r="O20" i="10"/>
  <c r="N20" i="10"/>
  <c r="A20" i="10"/>
  <c r="AS19" i="10"/>
  <c r="AR19" i="10"/>
  <c r="AQ19" i="10"/>
  <c r="AP19" i="10"/>
  <c r="AO19" i="10"/>
  <c r="AN19" i="10"/>
  <c r="H8" i="10" s="1"/>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A19" i="10"/>
  <c r="AS18" i="10"/>
  <c r="AR18" i="10"/>
  <c r="AQ18" i="10"/>
  <c r="AP18" i="10"/>
  <c r="AO18" i="10"/>
  <c r="AN18" i="10"/>
  <c r="AM18" i="10"/>
  <c r="AL18" i="10"/>
  <c r="AK18" i="10"/>
  <c r="AJ18" i="10"/>
  <c r="AI18" i="10"/>
  <c r="AH18" i="10"/>
  <c r="AG18" i="10"/>
  <c r="AF18" i="10"/>
  <c r="AE18" i="10"/>
  <c r="AD18" i="10"/>
  <c r="AC18" i="10"/>
  <c r="AB18" i="10"/>
  <c r="AA18" i="10"/>
  <c r="E7" i="10" s="1"/>
  <c r="Z18" i="10"/>
  <c r="Y18" i="10"/>
  <c r="X18" i="10"/>
  <c r="W18" i="10"/>
  <c r="V18" i="10"/>
  <c r="U18" i="10"/>
  <c r="T18" i="10"/>
  <c r="S18" i="10"/>
  <c r="R18" i="10"/>
  <c r="C7" i="10" s="1"/>
  <c r="Q18" i="10"/>
  <c r="P18" i="10"/>
  <c r="O18" i="10"/>
  <c r="N18" i="10"/>
  <c r="A18" i="10"/>
  <c r="AS17" i="10"/>
  <c r="AR17" i="10"/>
  <c r="AQ17" i="10"/>
  <c r="AP17" i="10"/>
  <c r="AO17"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A17" i="10"/>
  <c r="AS16" i="10"/>
  <c r="AR16" i="10"/>
  <c r="AQ16" i="10"/>
  <c r="AP16" i="10"/>
  <c r="AO16" i="10"/>
  <c r="AN16" i="10"/>
  <c r="AM16" i="10"/>
  <c r="AL16" i="10"/>
  <c r="AK16" i="10"/>
  <c r="AJ16" i="10"/>
  <c r="AI16" i="10"/>
  <c r="AH16" i="10"/>
  <c r="AG16" i="10"/>
  <c r="AF16" i="10"/>
  <c r="AE16" i="10"/>
  <c r="AD16" i="10"/>
  <c r="AC16" i="10"/>
  <c r="E5" i="10" s="1"/>
  <c r="AB16" i="10"/>
  <c r="AA16" i="10"/>
  <c r="Z16" i="10"/>
  <c r="Y16" i="10"/>
  <c r="X16" i="10"/>
  <c r="W16" i="10"/>
  <c r="V16" i="10"/>
  <c r="U16" i="10"/>
  <c r="T16" i="10"/>
  <c r="S16" i="10"/>
  <c r="R16" i="10"/>
  <c r="Q16" i="10"/>
  <c r="P16" i="10"/>
  <c r="O16" i="10"/>
  <c r="N16" i="10"/>
  <c r="A16" i="10"/>
  <c r="AS15" i="10"/>
  <c r="AR15" i="10"/>
  <c r="AQ15" i="10"/>
  <c r="AP15" i="10"/>
  <c r="AO15" i="10"/>
  <c r="AN15" i="10"/>
  <c r="AM15" i="10"/>
  <c r="AL15" i="10"/>
  <c r="AK15" i="10"/>
  <c r="AJ15" i="10"/>
  <c r="AI15" i="10"/>
  <c r="AH15" i="10"/>
  <c r="AG15" i="10"/>
  <c r="AF15" i="10"/>
  <c r="AE15" i="10"/>
  <c r="AD15" i="10"/>
  <c r="G4" i="10" s="1"/>
  <c r="AC15" i="10"/>
  <c r="AB15" i="10"/>
  <c r="AA15" i="10"/>
  <c r="Z15" i="10"/>
  <c r="Y15" i="10"/>
  <c r="X15" i="10"/>
  <c r="W15" i="10"/>
  <c r="V15" i="10"/>
  <c r="U15" i="10"/>
  <c r="T15" i="10"/>
  <c r="S15" i="10"/>
  <c r="R15" i="10"/>
  <c r="Q15" i="10"/>
  <c r="P15" i="10"/>
  <c r="O15" i="10"/>
  <c r="N15" i="10"/>
  <c r="C4" i="10" s="1"/>
  <c r="A15" i="10"/>
  <c r="H11" i="10"/>
  <c r="G11" i="10"/>
  <c r="C11" i="10"/>
  <c r="H10" i="10"/>
  <c r="G10" i="10"/>
  <c r="E10" i="10"/>
  <c r="C10" i="10"/>
  <c r="G9" i="10"/>
  <c r="G8" i="10"/>
  <c r="E8" i="10"/>
  <c r="C8" i="10"/>
  <c r="H7" i="10"/>
  <c r="G7" i="10"/>
  <c r="H6" i="10"/>
  <c r="G6" i="10"/>
  <c r="E6" i="10"/>
  <c r="C6" i="10"/>
  <c r="H5" i="10"/>
  <c r="G5" i="10"/>
  <c r="C5" i="10"/>
  <c r="H4" i="10"/>
  <c r="E4" i="10"/>
  <c r="U163" i="3"/>
  <c r="U147" i="3"/>
  <c r="U3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Covell, Eric</author>
  </authors>
  <commentList>
    <comment ref="O2" authorId="0" shapeId="0" xr:uid="{00000000-0006-0000-0C00-000001000000}">
      <text>
        <r>
          <rPr>
            <sz val="11"/>
            <color theme="1"/>
            <rFont val="Calibri"/>
            <family val="2"/>
            <scheme val="minor"/>
          </rPr>
          <t>Covell, Eric:
Immediate - &lt;unused&gt;
Analog Edge - Used
Digital Edge - &lt;unused&gt;
Window - Used
Hysteresis - Used</t>
        </r>
      </text>
    </comment>
    <comment ref="Q2" authorId="0" shapeId="0" xr:uid="{00000000-0006-0000-0C00-000002000000}">
      <text>
        <r>
          <rPr>
            <sz val="11"/>
            <color theme="1"/>
            <rFont val="Calibri"/>
            <family val="2"/>
            <scheme val="minor"/>
          </rPr>
          <t>Covell, Eric:
Immediate - &lt;unused&gt;
Analog Edge - Trigger Level
Digital Edge - &lt;unused&gt;
Window - Low Window Level
Hysteresis - Trigger Level</t>
        </r>
      </text>
    </comment>
    <comment ref="R2" authorId="0" shapeId="0" xr:uid="{00000000-0006-0000-0C00-000003000000}">
      <text>
        <r>
          <rPr>
            <sz val="11"/>
            <color theme="1"/>
            <rFont val="Calibri"/>
            <family val="2"/>
            <scheme val="minor"/>
          </rPr>
          <t>Covell, Eric:
Immediate - &lt;unused&gt;
Analog Edge - &lt;unused&gt;
Digital Edge - &lt;unused&gt;
Window - High Window Level
Hysteresis - Trigger Level Hysteresis</t>
        </r>
      </text>
    </comment>
    <comment ref="O18" authorId="0" shapeId="0" xr:uid="{00000000-0006-0000-0C00-000004000000}">
      <text>
        <r>
          <rPr>
            <sz val="11"/>
            <color theme="1"/>
            <rFont val="Calibri"/>
            <family val="2"/>
            <scheme val="minor"/>
          </rPr>
          <t>Covell, Eric:
Immediate - &lt;unused&gt;
Analog Edge - Used
Digital Edge - &lt;unused&gt;
Window - Used
Hysteresis - Used</t>
        </r>
      </text>
    </comment>
    <comment ref="Q18" authorId="0" shapeId="0" xr:uid="{00000000-0006-0000-0C00-000005000000}">
      <text>
        <r>
          <rPr>
            <sz val="11"/>
            <color theme="1"/>
            <rFont val="Calibri"/>
            <family val="2"/>
            <scheme val="minor"/>
          </rPr>
          <t>Covell, Eric:
Immediate - &lt;unused&gt;
Analog Edge - Trigger Level
Digital Edge - &lt;unused&gt;
Window - Low Window Level
Hysteresis - Trigger Level</t>
        </r>
      </text>
    </comment>
    <comment ref="R18" authorId="0" shapeId="0" xr:uid="{00000000-0006-0000-0C00-000006000000}">
      <text>
        <r>
          <rPr>
            <sz val="11"/>
            <color theme="1"/>
            <rFont val="Calibri"/>
            <family val="2"/>
            <scheme val="minor"/>
          </rPr>
          <t>Covell, Eric:
Immediate - &lt;unused&gt;
Analog Edge - &lt;unused&gt;
Digital Edge - &lt;unused&gt;
Window - High Window Level
Hysteresis - Trigger Level Hysteresis</t>
        </r>
      </text>
    </comment>
    <comment ref="O34" authorId="0" shapeId="0" xr:uid="{00000000-0006-0000-0C00-000007000000}">
      <text>
        <r>
          <rPr>
            <sz val="11"/>
            <color theme="1"/>
            <rFont val="Calibri"/>
            <family val="2"/>
            <scheme val="minor"/>
          </rPr>
          <t>Covell, Eric:
Immediate - &lt;unused&gt;
Analog Edge - Used
Digital Edge - &lt;unused&gt;
Window - Used
Hysteresis - Used</t>
        </r>
      </text>
    </comment>
    <comment ref="Q34" authorId="0" shapeId="0" xr:uid="{00000000-0006-0000-0C00-000008000000}">
      <text>
        <r>
          <rPr>
            <sz val="11"/>
            <color theme="1"/>
            <rFont val="Calibri"/>
            <family val="2"/>
            <scheme val="minor"/>
          </rPr>
          <t>Covell, Eric:
Immediate - &lt;unused&gt;
Analog Edge - Trigger Level
Digital Edge - &lt;unused&gt;
Window - Low Window Level
Hysteresis - Trigger Level</t>
        </r>
      </text>
    </comment>
    <comment ref="R34" authorId="0" shapeId="0" xr:uid="{00000000-0006-0000-0C00-000009000000}">
      <text>
        <r>
          <rPr>
            <sz val="11"/>
            <color theme="1"/>
            <rFont val="Calibri"/>
            <family val="2"/>
            <scheme val="minor"/>
          </rPr>
          <t>Covell, Eric:
Immediate - &lt;unused&gt;
Analog Edge - &lt;unused&gt;
Digital Edge - &lt;unused&gt;
Window - High Window Level
Hysteresis - Trigger Level Hysteresis</t>
        </r>
      </text>
    </comment>
    <comment ref="O50" authorId="0" shapeId="0" xr:uid="{00000000-0006-0000-0C00-00000A000000}">
      <text>
        <r>
          <rPr>
            <sz val="11"/>
            <color theme="1"/>
            <rFont val="Calibri"/>
            <family val="2"/>
            <scheme val="minor"/>
          </rPr>
          <t>Covell, Eric:
Immediate - &lt;unused&gt;
Analog Edge - Used
Digital Edge - &lt;unused&gt;
Window - Used
Hysteresis - Used</t>
        </r>
      </text>
    </comment>
    <comment ref="Q50" authorId="0" shapeId="0" xr:uid="{00000000-0006-0000-0C00-00000B000000}">
      <text>
        <r>
          <rPr>
            <sz val="11"/>
            <color theme="1"/>
            <rFont val="Calibri"/>
            <family val="2"/>
            <scheme val="minor"/>
          </rPr>
          <t>Covell, Eric:
Immediate - &lt;unused&gt;
Analog Edge - Trigger Level
Digital Edge - &lt;unused&gt;
Window - Low Window Level
Hysteresis - Trigger Level</t>
        </r>
      </text>
    </comment>
    <comment ref="R50" authorId="0" shapeId="0" xr:uid="{00000000-0006-0000-0C00-00000C000000}">
      <text>
        <r>
          <rPr>
            <sz val="11"/>
            <color theme="1"/>
            <rFont val="Calibri"/>
            <family val="2"/>
            <scheme val="minor"/>
          </rPr>
          <t>Covell, Eric:
Immediate - &lt;unused&gt;
Analog Edge - &lt;unused&gt;
Digital Edge - &lt;unused&gt;
Window - High Window Level
Hysteresis - Trigger Level Hysteresis</t>
        </r>
      </text>
    </comment>
    <comment ref="O62" authorId="0" shapeId="0" xr:uid="{00000000-0006-0000-0C00-00000D000000}">
      <text>
        <r>
          <rPr>
            <sz val="11"/>
            <color theme="1"/>
            <rFont val="Calibri"/>
            <family val="2"/>
            <scheme val="minor"/>
          </rPr>
          <t>Covell, Eric:
Immediate - &lt;unused&gt;
Analog Edge - Used
Digital Edge - &lt;unused&gt;
Window - Used
Hysteresis - Used</t>
        </r>
      </text>
    </comment>
    <comment ref="Q62" authorId="0" shapeId="0" xr:uid="{00000000-0006-0000-0C00-00000E000000}">
      <text>
        <r>
          <rPr>
            <sz val="11"/>
            <color theme="1"/>
            <rFont val="Calibri"/>
            <family val="2"/>
            <scheme val="minor"/>
          </rPr>
          <t>Covell, Eric:
Immediate - &lt;unused&gt;
Analog Edge - Trigger Level
Digital Edge - &lt;unused&gt;
Window - Low Window Level
Hysteresis - Trigger Level</t>
        </r>
      </text>
    </comment>
    <comment ref="R62" authorId="0" shapeId="0" xr:uid="{00000000-0006-0000-0C00-00000F000000}">
      <text>
        <r>
          <rPr>
            <sz val="11"/>
            <color theme="1"/>
            <rFont val="Calibri"/>
            <family val="2"/>
            <scheme val="minor"/>
          </rPr>
          <t>Covell, Eric:
Immediate - &lt;unused&gt;
Analog Edge - &lt;unused&gt;
Digital Edge - &lt;unused&gt;
Window - High Window Level
Hysteresis - Trigger Level Hysteresis</t>
        </r>
      </text>
    </comment>
    <comment ref="O72" authorId="0" shapeId="0" xr:uid="{00000000-0006-0000-0C00-000010000000}">
      <text>
        <r>
          <rPr>
            <sz val="11"/>
            <color theme="1"/>
            <rFont val="Calibri"/>
            <family val="2"/>
            <scheme val="minor"/>
          </rPr>
          <t>Covell, Eric:
Immediate - &lt;unused&gt;
Analog Edge - Used
Digital Edge - &lt;unused&gt;
Window - Used
Hysteresis - Used</t>
        </r>
      </text>
    </comment>
    <comment ref="Q72" authorId="0" shapeId="0" xr:uid="{00000000-0006-0000-0C00-000011000000}">
      <text>
        <r>
          <rPr>
            <sz val="11"/>
            <color theme="1"/>
            <rFont val="Calibri"/>
            <family val="2"/>
            <scheme val="minor"/>
          </rPr>
          <t>Covell, Eric:
Immediate - &lt;unused&gt;
Analog Edge - Trigger Level
Digital Edge - &lt;unused&gt;
Window - Low Window Level
Hysteresis - Trigger Level</t>
        </r>
      </text>
    </comment>
    <comment ref="R72" authorId="0" shapeId="0" xr:uid="{00000000-0006-0000-0C00-000012000000}">
      <text>
        <r>
          <rPr>
            <sz val="11"/>
            <color theme="1"/>
            <rFont val="Calibri"/>
            <family val="2"/>
            <scheme val="minor"/>
          </rPr>
          <t>Covell, Eric:
Immediate - &lt;unused&gt;
Analog Edge - &lt;unused&gt;
Digital Edge - &lt;unused&gt;
Window - High Window Level
Hysteresis - Trigger Level Hysteresis</t>
        </r>
      </text>
    </comment>
  </commentList>
</comments>
</file>

<file path=xl/sharedStrings.xml><?xml version="1.0" encoding="utf-8"?>
<sst xmlns="http://schemas.openxmlformats.org/spreadsheetml/2006/main" count="4902" uniqueCount="994">
  <si>
    <t>Version</t>
  </si>
  <si>
    <t>Last Modified By</t>
  </si>
  <si>
    <t>Last Modified Date</t>
  </si>
  <si>
    <t>Update Notes</t>
  </si>
  <si>
    <t>1101 Full Phase 6 and 7 WR with A3, use 45 second wait</t>
  </si>
  <si>
    <t>sequence</t>
  </si>
  <si>
    <t>300sec</t>
  </si>
  <si>
    <t>Instrument Information</t>
  </si>
  <si>
    <t>Source</t>
  </si>
  <si>
    <t>Destination</t>
  </si>
  <si>
    <t>Type</t>
  </si>
  <si>
    <t>Engine IP Address</t>
  </si>
  <si>
    <t>Engine Port</t>
  </si>
  <si>
    <t>Address</t>
  </si>
  <si>
    <t>SW Alias</t>
  </si>
  <si>
    <t>Description</t>
  </si>
  <si>
    <t>Enabled</t>
  </si>
  <si>
    <t>Model</t>
  </si>
  <si>
    <t>Serial Number</t>
  </si>
  <si>
    <t>Asset Number</t>
  </si>
  <si>
    <t>Calibration Date</t>
  </si>
  <si>
    <t>Synchronization Clock</t>
  </si>
  <si>
    <t>DDS Clock Frequency (Hz)</t>
  </si>
  <si>
    <t>Synchronization Clock (Divided 1)</t>
  </si>
  <si>
    <t>Synchronization Clock (Divided 2)</t>
  </si>
  <si>
    <t>---</t>
  </si>
  <si>
    <t>NI-Sync</t>
  </si>
  <si>
    <t>localhost</t>
  </si>
  <si>
    <t>PXIe-6674T_01</t>
  </si>
  <si>
    <t>Yes</t>
  </si>
  <si>
    <t>0217BA79</t>
  </si>
  <si>
    <t>Oscillator</t>
  </si>
  <si>
    <t>ClkIn</t>
  </si>
  <si>
    <t>PXI_Clk10_In</t>
  </si>
  <si>
    <t>PXI_Clk10</t>
  </si>
  <si>
    <t>ClkOut</t>
  </si>
  <si>
    <t>Channel Information</t>
  </si>
  <si>
    <t>PFI0</t>
  </si>
  <si>
    <t>Invert</t>
  </si>
  <si>
    <t>Update Edge</t>
  </si>
  <si>
    <t>Software Trigger Delay (s)</t>
  </si>
  <si>
    <t>DDS</t>
  </si>
  <si>
    <t>PFI1</t>
  </si>
  <si>
    <t>MasterTimer_Route1</t>
  </si>
  <si>
    <t>Clock</t>
  </si>
  <si>
    <t>Rising</t>
  </si>
  <si>
    <t>PFI2</t>
  </si>
  <si>
    <t>MasterTimer_Route2</t>
  </si>
  <si>
    <t>PFI3</t>
  </si>
  <si>
    <t>MasterTimer_Route3</t>
  </si>
  <si>
    <t>Software Trigger</t>
  </si>
  <si>
    <t>GlobalSoftwareTrigger</t>
  </si>
  <si>
    <t>SyncClkFullSpeed</t>
  </si>
  <si>
    <t>PFI4</t>
  </si>
  <si>
    <t>MasterTimer_Route4</t>
  </si>
  <si>
    <t>Inverted for the Foundation Bus</t>
  </si>
  <si>
    <t>PFI5</t>
  </si>
  <si>
    <t>MasterTimer_Route5</t>
  </si>
  <si>
    <t>PXI_Trig0</t>
  </si>
  <si>
    <t>MasterTimer_Route6</t>
  </si>
  <si>
    <t>PXI_Trig1</t>
  </si>
  <si>
    <t>MasterTimer_Route7</t>
  </si>
  <si>
    <t>PXI_Trig2</t>
  </si>
  <si>
    <t>MasterTimer_Route8</t>
  </si>
  <si>
    <t>PXI_Trig3</t>
  </si>
  <si>
    <t>MasterTimer_Route9</t>
  </si>
  <si>
    <t>PXI_Trig4</t>
  </si>
  <si>
    <t>MasterTimer_Route10</t>
  </si>
  <si>
    <t>Slot 9</t>
  </si>
  <si>
    <t>PXI_Star0</t>
  </si>
  <si>
    <t>PXI_Trig5</t>
  </si>
  <si>
    <t>MasterTimer_Route11</t>
  </si>
  <si>
    <t>Slot 8</t>
  </si>
  <si>
    <t>PXI_Star1</t>
  </si>
  <si>
    <t>PXI_Trig6</t>
  </si>
  <si>
    <t>MasterTimer_Route12</t>
  </si>
  <si>
    <t>Slot 7</t>
  </si>
  <si>
    <t>PXI_Star2</t>
  </si>
  <si>
    <t>PXI_Trig7</t>
  </si>
  <si>
    <t>MasterTimer_Route13</t>
  </si>
  <si>
    <t>Slot 6</t>
  </si>
  <si>
    <t>PXI_Star3</t>
  </si>
  <si>
    <t>MasterTimer_Route14</t>
  </si>
  <si>
    <t>Slot 5</t>
  </si>
  <si>
    <t>PXI_Star4</t>
  </si>
  <si>
    <t>MasterTimer_Route15</t>
  </si>
  <si>
    <t>Slot 4</t>
  </si>
  <si>
    <t>PXI_Star5</t>
  </si>
  <si>
    <t>MasterTimer_Route16</t>
  </si>
  <si>
    <t>Slot 3</t>
  </si>
  <si>
    <t>PXI_Star6</t>
  </si>
  <si>
    <t>MasterTimer_Route17</t>
  </si>
  <si>
    <t>This Start line is for the FPGA, Slot 2</t>
  </si>
  <si>
    <t>PXI_Star7</t>
  </si>
  <si>
    <t>MasterTimer_Route18</t>
  </si>
  <si>
    <t>Slot 1</t>
  </si>
  <si>
    <t>PXI_Star8</t>
  </si>
  <si>
    <t>MasterTimer_Route19</t>
  </si>
  <si>
    <t>Slot 11</t>
  </si>
  <si>
    <t>PXI_Star9</t>
  </si>
  <si>
    <t>MasterTimer_Route20</t>
  </si>
  <si>
    <t>Slot 12</t>
  </si>
  <si>
    <t>PXI_Star10</t>
  </si>
  <si>
    <t>MasterTimer_Route21</t>
  </si>
  <si>
    <t>Slot 13</t>
  </si>
  <si>
    <t>PXI_Star11</t>
  </si>
  <si>
    <t>MasterTimer_Route22</t>
  </si>
  <si>
    <t>Slot 14</t>
  </si>
  <si>
    <t>PXI_Star12</t>
  </si>
  <si>
    <t>MasterTimer_Route23</t>
  </si>
  <si>
    <t>Slot 15</t>
  </si>
  <si>
    <t>PXI_Star13</t>
  </si>
  <si>
    <t>MasterTimer_Route24</t>
  </si>
  <si>
    <t>Slot 16</t>
  </si>
  <si>
    <t>PXI_Star14</t>
  </si>
  <si>
    <t>MasterTimer_Route25</t>
  </si>
  <si>
    <t>Slot 17</t>
  </si>
  <si>
    <t>PXI_Star15</t>
  </si>
  <si>
    <t>MasterTimer_Route26</t>
  </si>
  <si>
    <t>Slot 18</t>
  </si>
  <si>
    <t>PXI_Star16</t>
  </si>
  <si>
    <t>SyncClkDivided1</t>
  </si>
  <si>
    <t>SyncClkDivided2</t>
  </si>
  <si>
    <t>PXIe-6674T_02</t>
  </si>
  <si>
    <t>MasterClock</t>
  </si>
  <si>
    <t>MasterClock_Route1</t>
  </si>
  <si>
    <t>SlaveTimer1_Route7</t>
  </si>
  <si>
    <t>Trigger</t>
  </si>
  <si>
    <t>SlaveTimer1_Route8</t>
  </si>
  <si>
    <t>SlaveTimer1_Route9</t>
  </si>
  <si>
    <t>SlaveTimer1_Route10</t>
  </si>
  <si>
    <t>SlaveTimer1_Route11</t>
  </si>
  <si>
    <t>SlaveTimer1_Route12</t>
  </si>
  <si>
    <t>SlaveTimer1_Route13</t>
  </si>
  <si>
    <t>SlaveTimer1_Route14</t>
  </si>
  <si>
    <t>SlaveTimer1_Route15</t>
  </si>
  <si>
    <t>SlaveTimer1_Route16</t>
  </si>
  <si>
    <t>SlaveTimer1_Route17</t>
  </si>
  <si>
    <t>SlaveTimer1_Route18</t>
  </si>
  <si>
    <t>SlaveTimer1_Route19</t>
  </si>
  <si>
    <t>SlaveTimer1_Route20</t>
  </si>
  <si>
    <t>SlaveTimer1_Route21</t>
  </si>
  <si>
    <t>SlaveTimer1_Route22</t>
  </si>
  <si>
    <t>SlaveTimer1_Route23</t>
  </si>
  <si>
    <t>SlaveTimer1_Route24</t>
  </si>
  <si>
    <t>SlaveTimer1_Route25</t>
  </si>
  <si>
    <t>SlaveTimer1_Route26</t>
  </si>
  <si>
    <t>Reference Clock</t>
  </si>
  <si>
    <t xml:space="preserve">Sample Clock Active Edge </t>
  </si>
  <si>
    <t>Trig. Type</t>
  </si>
  <si>
    <t>Trig. Level</t>
  </si>
  <si>
    <t>Trig. Source</t>
  </si>
  <si>
    <t>Trig. Destination</t>
  </si>
  <si>
    <t>Trig. Slope</t>
  </si>
  <si>
    <t>Sample Mode</t>
  </si>
  <si>
    <t>Sample Rate (samples/s)</t>
  </si>
  <si>
    <t>Sample Duration (min.)</t>
  </si>
  <si>
    <t>PreTrigger (s)</t>
  </si>
  <si>
    <t>DAQmx Synch</t>
  </si>
  <si>
    <t>LocalHost</t>
  </si>
  <si>
    <t>PXIe-4300_01</t>
  </si>
  <si>
    <t>TB-4300B</t>
  </si>
  <si>
    <t>PXIe_Clk100</t>
  </si>
  <si>
    <t>Start-Digital Edge</t>
  </si>
  <si>
    <t>PXI_Star</t>
  </si>
  <si>
    <t>Continuous</t>
  </si>
  <si>
    <t>Lowpass Filter</t>
  </si>
  <si>
    <t>Min Voltage (V)</t>
  </si>
  <si>
    <t>Max Voltage (V)</t>
  </si>
  <si>
    <t>Polynomial Factors (x^n,. . .,x)</t>
  </si>
  <si>
    <t>Data Reduction Method</t>
  </si>
  <si>
    <t>Aperture Tolerance (V)</t>
  </si>
  <si>
    <t>Aperture Burst</t>
  </si>
  <si>
    <t>Aperture Min Sample Rate</t>
  </si>
  <si>
    <t>Averaging Points</t>
  </si>
  <si>
    <t>Decimation Interval</t>
  </si>
  <si>
    <t>Units</t>
  </si>
  <si>
    <t>DISCRETE_A_VMON</t>
  </si>
  <si>
    <t>1,0</t>
  </si>
  <si>
    <t>Aperture</t>
  </si>
  <si>
    <t>DISCRETE_B_VMON</t>
  </si>
  <si>
    <t>DISCRETE_C_VMON</t>
  </si>
  <si>
    <t>DISCRETE_D_VMON</t>
  </si>
  <si>
    <t>FUNC_PWR1_VMON</t>
  </si>
  <si>
    <t>FUNC_PWR2_VMON</t>
  </si>
  <si>
    <t>TMTO_VMON</t>
  </si>
  <si>
    <t>A00_VMON</t>
  </si>
  <si>
    <t>PXIe-4300_02</t>
  </si>
  <si>
    <t>A01_VMON</t>
  </si>
  <si>
    <t>A02_VMON</t>
  </si>
  <si>
    <t>A03_VMON</t>
  </si>
  <si>
    <t>A3_VMON_DIGITIZER</t>
  </si>
  <si>
    <t>A1_VMON</t>
  </si>
  <si>
    <t>EXT_PWR_EN_VMON</t>
  </si>
  <si>
    <t>EXT_TM_PWR_VMON</t>
  </si>
  <si>
    <t>BATT_VOLTAGE_VMON</t>
  </si>
  <si>
    <t>PXIe-4300_03</t>
  </si>
  <si>
    <t>AFT_TM_BATT_VMON</t>
  </si>
  <si>
    <t>WEM_WH_TX_MON_PWR</t>
  </si>
  <si>
    <t>EXT_PWR_VMON</t>
  </si>
  <si>
    <t>ICU_CMP_MON_PWR</t>
  </si>
  <si>
    <t>AFS_AOX_VMON</t>
  </si>
  <si>
    <t>FSA_GR_RAIL_B_MON</t>
  </si>
  <si>
    <t>FSA_GR_RAIL_A_MON</t>
  </si>
  <si>
    <t>FSA_DISCRETE_A_VMON</t>
  </si>
  <si>
    <t>PXIe-4300_04</t>
  </si>
  <si>
    <t>FSA_DISCRETE_B_VMON</t>
  </si>
  <si>
    <t>FSA_DISCRETE_C_VMON</t>
  </si>
  <si>
    <t>FSA_DISCRETE_D_VMON</t>
  </si>
  <si>
    <t>FSA_AMP_EN_MON</t>
  </si>
  <si>
    <t>FSA_A4_VMON_DIGITIZER</t>
  </si>
  <si>
    <t>FSA_A3_VMON_DIGITIZER</t>
  </si>
  <si>
    <t>FSA_A1_VMON</t>
  </si>
  <si>
    <t>WEM_ANALOG_STATE_A_RST</t>
  </si>
  <si>
    <t>PXIe-4300_05</t>
  </si>
  <si>
    <t>ICU_DISCRETE_A_VMON</t>
  </si>
  <si>
    <t>ICU_DISCRETE_B_VMON</t>
  </si>
  <si>
    <t>ICU_DISCRETE_C_VMON</t>
  </si>
  <si>
    <t>ICU_DISCRETE_D_VMON</t>
  </si>
  <si>
    <t>ICU_FUNC_A_VMON</t>
  </si>
  <si>
    <t>ICU_FUNC_B_VMON</t>
  </si>
  <si>
    <t>ICU_FUNC_C_VMON</t>
  </si>
  <si>
    <t>ICU_FUNC_D_VMON</t>
  </si>
  <si>
    <t>PXIe-4300_06</t>
  </si>
  <si>
    <t>ICU_A1_VMON</t>
  </si>
  <si>
    <t>ICU_A3_VMON_DIGITIZER</t>
  </si>
  <si>
    <t>ICU_TMTO</t>
  </si>
  <si>
    <t>WEM_FUNC_PWR_1_VMON</t>
  </si>
  <si>
    <t>WEM_FUNC_PWR_2_VMON</t>
  </si>
  <si>
    <t>WEM_12V_VMON</t>
  </si>
  <si>
    <t>WEM_V1_SNS</t>
  </si>
  <si>
    <t>WEM_CTF</t>
  </si>
  <si>
    <t>PXIe-4300_07</t>
  </si>
  <si>
    <t>A00_Load_Volt</t>
  </si>
  <si>
    <t>A01_Load_Volt</t>
  </si>
  <si>
    <t>A02_Load_Volt</t>
  </si>
  <si>
    <t>A03_Load_Volt</t>
  </si>
  <si>
    <t>J108_PWR</t>
  </si>
  <si>
    <t>J108_PWR_Current</t>
  </si>
  <si>
    <t>A4_HV</t>
  </si>
  <si>
    <t>A4_VCAP_HVMON</t>
  </si>
  <si>
    <t>PXIe-4300_08</t>
  </si>
  <si>
    <t>A2_VMON_DIGITIZER</t>
  </si>
  <si>
    <t>D58</t>
  </si>
  <si>
    <t>D59</t>
  </si>
  <si>
    <t>D60</t>
  </si>
  <si>
    <t>D61</t>
  </si>
  <si>
    <t>D62</t>
  </si>
  <si>
    <t>D63</t>
  </si>
  <si>
    <t>D64</t>
  </si>
  <si>
    <t>PXIe-4300_09</t>
  </si>
  <si>
    <t>D65</t>
  </si>
  <si>
    <t>D66</t>
  </si>
  <si>
    <t>D67</t>
  </si>
  <si>
    <t>D68</t>
  </si>
  <si>
    <t>D69</t>
  </si>
  <si>
    <t>D70</t>
  </si>
  <si>
    <t>D71</t>
  </si>
  <si>
    <t>D72</t>
  </si>
  <si>
    <t>PXIe-4300_10</t>
  </si>
  <si>
    <t>TB-4300</t>
  </si>
  <si>
    <t>DISCRETE_A_IMON</t>
  </si>
  <si>
    <t>DISCRETE_B_IMON</t>
  </si>
  <si>
    <t>DISCRETE_C_IMON</t>
  </si>
  <si>
    <t>DISCRETE_D_IMON</t>
  </si>
  <si>
    <t>FUNC_PWR_1_IMON</t>
  </si>
  <si>
    <t>FUNC_PWR_2_IMON</t>
  </si>
  <si>
    <t>A00_IMON</t>
  </si>
  <si>
    <t>A01_IMON</t>
  </si>
  <si>
    <t>PXIe-4300_11</t>
  </si>
  <si>
    <t>A02_IMON</t>
  </si>
  <si>
    <t>A03_IMON</t>
  </si>
  <si>
    <t>A3_IMON_DIGITIZER</t>
  </si>
  <si>
    <t>A1_IMON</t>
  </si>
  <si>
    <t>EXT_TM_PWR_IMON</t>
  </si>
  <si>
    <t>BATT_VOLTAGE_IMON</t>
  </si>
  <si>
    <t>AFT_TM_Batt_IMON</t>
  </si>
  <si>
    <t>WEM_WH_TX_MON_PWR_Current</t>
  </si>
  <si>
    <t>PXIe-4300_12</t>
  </si>
  <si>
    <t>EXT_PWR_IMON</t>
  </si>
  <si>
    <t>AFS_AFE_MON</t>
  </si>
  <si>
    <t>AFS_AFI_MON</t>
  </si>
  <si>
    <t>FSA_REG_VCC_MON</t>
  </si>
  <si>
    <t>FSA_MAIN_HV_MON</t>
  </si>
  <si>
    <t>FSA_AUX_HV_MON</t>
  </si>
  <si>
    <t>FSA_FB_EN_MON</t>
  </si>
  <si>
    <t>FSA_1_2V_REF_VMON</t>
  </si>
  <si>
    <t>PXIe-4300_13</t>
  </si>
  <si>
    <t>ICU_DISC_AB_IMON</t>
  </si>
  <si>
    <t>ICU_DISC_CD_IMON</t>
  </si>
  <si>
    <t>ICU_A2_VMON_DIGITIZER</t>
  </si>
  <si>
    <t>ICU_SYS_SW_RTN_IMON_P1</t>
  </si>
  <si>
    <t>WEM_FUNC_PWR_1_IMON</t>
  </si>
  <si>
    <t>WEM_FUNC_PWR_2_IMON</t>
  </si>
  <si>
    <t>WEM_V1_MON</t>
  </si>
  <si>
    <t>WEM_3V3_MON </t>
  </si>
  <si>
    <t>PXIe-4300_14</t>
  </si>
  <si>
    <t>WEM_V2_MON</t>
  </si>
  <si>
    <t>FSA_3V3_VMON</t>
  </si>
  <si>
    <t>D107</t>
  </si>
  <si>
    <t>A2_IMON_DIGITIZER</t>
  </si>
  <si>
    <t>INT_STATE_A</t>
  </si>
  <si>
    <t>INT_STATE_B</t>
  </si>
  <si>
    <t>WEM_ANALOG_STATE_A_RST_IMON</t>
  </si>
  <si>
    <t>D112</t>
  </si>
  <si>
    <t>PXIe-4300_15</t>
  </si>
  <si>
    <t>D113</t>
  </si>
  <si>
    <t>D114</t>
  </si>
  <si>
    <t>D115</t>
  </si>
  <si>
    <t>D116</t>
  </si>
  <si>
    <t>D117</t>
  </si>
  <si>
    <t>D118</t>
  </si>
  <si>
    <t>D119</t>
  </si>
  <si>
    <t>D120</t>
  </si>
  <si>
    <t>Topology</t>
  </si>
  <si>
    <t>NI</t>
  </si>
  <si>
    <t>PXI2586_01</t>
  </si>
  <si>
    <t>PXI-2586</t>
  </si>
  <si>
    <t>0218415E</t>
  </si>
  <si>
    <t>2586/10-SPST</t>
  </si>
  <si>
    <t>COM Channel</t>
  </si>
  <si>
    <t>Active Low</t>
  </si>
  <si>
    <t>Initial State</t>
  </si>
  <si>
    <t>Transition Times (s)</t>
  </si>
  <si>
    <t>note</t>
  </si>
  <si>
    <t>ch0</t>
  </si>
  <si>
    <t>Closed</t>
  </si>
  <si>
    <t>chassis</t>
  </si>
  <si>
    <t>ch1</t>
  </si>
  <si>
    <t>missile return</t>
  </si>
  <si>
    <t>ch2</t>
  </si>
  <si>
    <t>fuze return</t>
  </si>
  <si>
    <t>ch3</t>
  </si>
  <si>
    <t>ch4</t>
  </si>
  <si>
    <t>ch5</t>
  </si>
  <si>
    <t>ch6</t>
  </si>
  <si>
    <t>ch7</t>
  </si>
  <si>
    <t>ch8</t>
  </si>
  <si>
    <t>ch9</t>
  </si>
  <si>
    <t>PXIe2527_01</t>
  </si>
  <si>
    <t>MUX</t>
  </si>
  <si>
    <t>PXI-2527</t>
  </si>
  <si>
    <t>0216DE72</t>
  </si>
  <si>
    <t>2527/2-Wire 32x1 Mux</t>
  </si>
  <si>
    <t>Open</t>
  </si>
  <si>
    <t>Clock Source</t>
  </si>
  <si>
    <t>Trigger Source</t>
  </si>
  <si>
    <t>Timestamp Resolution</t>
  </si>
  <si>
    <t>KCP</t>
  </si>
  <si>
    <t>192.168.1.101</t>
  </si>
  <si>
    <t>KCP BUS CARD 1</t>
  </si>
  <si>
    <t>Internal</t>
  </si>
  <si>
    <t>10us</t>
  </si>
  <si>
    <t>Speed</t>
  </si>
  <si>
    <t>Bus</t>
  </si>
  <si>
    <t>Internal Hub</t>
  </si>
  <si>
    <t>FBus1</t>
  </si>
  <si>
    <t>1 Mbit</t>
  </si>
  <si>
    <t>FBus2</t>
  </si>
  <si>
    <t>FBus1 Message(s) to Send</t>
  </si>
  <si>
    <t>FBus2 Message(s) to Send</t>
  </si>
  <si>
    <t>Timing Reference (CD)</t>
  </si>
  <si>
    <t>TimeToSend</t>
  </si>
  <si>
    <t>SourceMod</t>
  </si>
  <si>
    <t>DestMod</t>
  </si>
  <si>
    <t>DestObject</t>
  </si>
  <si>
    <t>Payload</t>
  </si>
  <si>
    <t>Passive Listener Addresses</t>
  </si>
  <si>
    <t>2222</t>
  </si>
  <si>
    <t>5555</t>
  </si>
  <si>
    <t>5556</t>
  </si>
  <si>
    <t>5557</t>
  </si>
  <si>
    <t>5558</t>
  </si>
  <si>
    <t>PXIe Mk2</t>
  </si>
  <si>
    <t>PXIe-Mk2</t>
  </si>
  <si>
    <t>SpaceWire</t>
  </si>
  <si>
    <t>PXI Interface Mk2</t>
  </si>
  <si>
    <t>21006-0015</t>
  </si>
  <si>
    <t xml:space="preserve">Port </t>
  </si>
  <si>
    <t>AutoStart Enabled</t>
  </si>
  <si>
    <t>Tri-State Enabled</t>
  </si>
  <si>
    <t>Trigger on Timecode</t>
  </si>
  <si>
    <t>Port Action Tx Packet</t>
  </si>
  <si>
    <t>TransmitClock Multiplier</t>
  </si>
  <si>
    <t>TransmitClock Divisor</t>
  </si>
  <si>
    <t>Internal Trigger Port</t>
  </si>
  <si>
    <t>Payload_Bytes</t>
  </si>
  <si>
    <t>PXI-Mk2_00</t>
  </si>
  <si>
    <t>Mk2 Channel 0</t>
  </si>
  <si>
    <t>PXI-Mk2_01</t>
  </si>
  <si>
    <t>Mk2 Channel 1</t>
  </si>
  <si>
    <t>PXI-Mk2_02</t>
  </si>
  <si>
    <t>Mk2 Channel 2</t>
  </si>
  <si>
    <t>PXI-Mk2_03</t>
  </si>
  <si>
    <t>Mk2 Channel 3</t>
  </si>
  <si>
    <t>PXI-Mk2_04</t>
  </si>
  <si>
    <t>Mk2 Channel 4</t>
  </si>
  <si>
    <t>USB Mk4</t>
  </si>
  <si>
    <t>USB-Mk4</t>
  </si>
  <si>
    <t>Brick-Mk4</t>
  </si>
  <si>
    <t>20886-0117</t>
  </si>
  <si>
    <t>PXI-Mk4_00</t>
  </si>
  <si>
    <t>Mk4 Channel 0</t>
  </si>
  <si>
    <t>PXI-Mk4_01</t>
  </si>
  <si>
    <t>Mk4 Channel 1</t>
  </si>
  <si>
    <t>PXI-Mk4_02</t>
  </si>
  <si>
    <t>Mk4 Channel 2</t>
  </si>
  <si>
    <t>Switch SW Alias</t>
  </si>
  <si>
    <t>Measurement Type</t>
  </si>
  <si>
    <t>Resolution</t>
  </si>
  <si>
    <t>Range</t>
  </si>
  <si>
    <t>PXIe-4081_01</t>
  </si>
  <si>
    <t>DMM</t>
  </si>
  <si>
    <t>Switch1</t>
  </si>
  <si>
    <t>DC Voltage</t>
  </si>
  <si>
    <t>7 1/2</t>
  </si>
  <si>
    <t>Channel with Switch</t>
  </si>
  <si>
    <t>Channel List</t>
  </si>
  <si>
    <t>DMM1_Ch1</t>
  </si>
  <si>
    <t>DMM Channel 1</t>
  </si>
  <si>
    <t>volts</t>
  </si>
  <si>
    <t>ch0-&gt;com0</t>
  </si>
  <si>
    <t>Ω</t>
  </si>
  <si>
    <t>Topologies</t>
  </si>
  <si>
    <t>3 1/2</t>
  </si>
  <si>
    <t>Configured Topology</t>
  </si>
  <si>
    <t>AC Voltage</t>
  </si>
  <si>
    <t>4 1/2</t>
  </si>
  <si>
    <t>2501/1-Wire 48x1 Amplified Mux</t>
  </si>
  <si>
    <t>DC Current</t>
  </si>
  <si>
    <t>5 1/2</t>
  </si>
  <si>
    <t>2501/1-Wire 48x1 Mux</t>
  </si>
  <si>
    <t>AC Current</t>
  </si>
  <si>
    <t>6 1/2</t>
  </si>
  <si>
    <t>2501/2-Wire 24x1 Amplified Mux</t>
  </si>
  <si>
    <t>2-wire Resistance</t>
  </si>
  <si>
    <t>2501/2-Wire 24x1 Mux</t>
  </si>
  <si>
    <t>4-wire Resistance</t>
  </si>
  <si>
    <t>2501/2-Wire 4x6 Matrix</t>
  </si>
  <si>
    <t>Diode</t>
  </si>
  <si>
    <t>2501/2-Wire Dual 12x1 Mux</t>
  </si>
  <si>
    <t>Frequency</t>
  </si>
  <si>
    <t>2501/2-Wire Quad 6x1 Mux</t>
  </si>
  <si>
    <t>Period</t>
  </si>
  <si>
    <t>2501/4-Wire 12x1 Mux</t>
  </si>
  <si>
    <t>AC Volts DC Coupled</t>
  </si>
  <si>
    <t>2503/1-Wire 48x1 Mux</t>
  </si>
  <si>
    <t>Capacitance</t>
  </si>
  <si>
    <t>2503/2-Wire 24x1 Mux</t>
  </si>
  <si>
    <t>Inductance</t>
  </si>
  <si>
    <t>2503/2-Wire 4x6 Matrix</t>
  </si>
  <si>
    <t>Temperature</t>
  </si>
  <si>
    <t>2503/2-Wire Dual 12x1 Mux</t>
  </si>
  <si>
    <t>Continuity</t>
  </si>
  <si>
    <t>2503/2-Wire Quad 6x1 Mux</t>
  </si>
  <si>
    <t>2503/4-Wire 12x1 Mux</t>
  </si>
  <si>
    <t>2510/Independent</t>
  </si>
  <si>
    <t>2512/Independent</t>
  </si>
  <si>
    <t>2514/Independent</t>
  </si>
  <si>
    <t>2515/Independent</t>
  </si>
  <si>
    <t>2520/80-SPST</t>
  </si>
  <si>
    <t>2521/40-DPST</t>
  </si>
  <si>
    <t>2522/53-SPDT</t>
  </si>
  <si>
    <t>2523/26-DPDT</t>
  </si>
  <si>
    <t>2524/1-Wire 128x1 Mux</t>
  </si>
  <si>
    <t>2524/1-Wire Dual 64x1 Mux</t>
  </si>
  <si>
    <t>2524/1-Wire Quad 32x1 Mux</t>
  </si>
  <si>
    <t>2524/1-Wire Octal 16x1 Mux</t>
  </si>
  <si>
    <t>2524/1-Wire Sixteen 8x1 Mux</t>
  </si>
  <si>
    <t>2525/2-Wire 64x1 Mux</t>
  </si>
  <si>
    <t>2525/2-Wire Dual 32x1 Mux</t>
  </si>
  <si>
    <t>2525/2-Wire Quad 16x1 Mux</t>
  </si>
  <si>
    <t>2525/2-Wire Octal 8x1 Mux</t>
  </si>
  <si>
    <t>2525/2-Wire Sixteen 4x1 Mux</t>
  </si>
  <si>
    <t>2526/1-Wire 158x1 Mux</t>
  </si>
  <si>
    <t>2526/2-Wire 79x1 Mux</t>
  </si>
  <si>
    <t>2527/1-Wire 64x1 Mux</t>
  </si>
  <si>
    <t>2527/1-Wire Dual 32x1 Mux</t>
  </si>
  <si>
    <t>2527/2-Wire Dual 16x1 Mux</t>
  </si>
  <si>
    <t>2527/4-Wire 16x1 Mux</t>
  </si>
  <si>
    <t>2527/Independent</t>
  </si>
  <si>
    <t>2529/2-Wire 4x32 Matrix</t>
  </si>
  <si>
    <t>2529/2-Wire 8x16 Matrix</t>
  </si>
  <si>
    <t>2529/2-Wire Dual 4x16 Matrix</t>
  </si>
  <si>
    <t>2530/1-Wire 128x1 Mux</t>
  </si>
  <si>
    <t>2530/1-Wire 4x32 Matrix</t>
  </si>
  <si>
    <t>2530/1-Wire 8x16 Matrix</t>
  </si>
  <si>
    <t>2530/1-Wire Dual 64x1 Mux</t>
  </si>
  <si>
    <t>2530/1-Wire Octal 16x1 Mux</t>
  </si>
  <si>
    <t>2530/1-Wire Quad 32x1 Mux</t>
  </si>
  <si>
    <t>2530/2-Wire 4x16 Matrix</t>
  </si>
  <si>
    <t>2530/2-Wire 64x1 Mux</t>
  </si>
  <si>
    <t>2530/2-Wire Dual 32x1 Mux</t>
  </si>
  <si>
    <t>2530/2-Wire Quad 16x1 Mux</t>
  </si>
  <si>
    <t>2530/4-Wire 32x1 Mux</t>
  </si>
  <si>
    <t>2530/4-Wire Dual 16x1 Mux</t>
  </si>
  <si>
    <t>2530/Independent</t>
  </si>
  <si>
    <t>2531/1-Wire 4x128 Matrix</t>
  </si>
  <si>
    <t>2531/1-Wire 8x64 Matrix</t>
  </si>
  <si>
    <t>2531/1-Wire Dual 4x64 Matrix</t>
  </si>
  <si>
    <t>2531/1-Wire Dual 8x32 Matrix</t>
  </si>
  <si>
    <t>2532/1-Wire 16x32 Matrix</t>
  </si>
  <si>
    <t>2532/1-Wire 4x128 Matrix</t>
  </si>
  <si>
    <t>2532/1-Wire 8x64 Matrix</t>
  </si>
  <si>
    <t>2532/1-Wire Dual 16x16 Matrix</t>
  </si>
  <si>
    <t>2532/1-Wire Dual 4x64 Matrix</t>
  </si>
  <si>
    <t>2532/1-Wire Dual 8x32 Matrix</t>
  </si>
  <si>
    <t>2532/1-Wire Quad 4x32 Matrix</t>
  </si>
  <si>
    <t>2532/1-Wire Sixteen 2x16 Matrix</t>
  </si>
  <si>
    <t>2532/2-Wire 16x16 Matrix</t>
  </si>
  <si>
    <t>2532/2-Wire 4x64 Matrix</t>
  </si>
  <si>
    <t>2532/2-Wire 8x32 Matrix</t>
  </si>
  <si>
    <t>2532/2-Wire Dual 4x32 Matrix</t>
  </si>
  <si>
    <t>2533/1-Wire 4x64 Matrix</t>
  </si>
  <si>
    <t>2534/1-Wire 8x32 Matrix</t>
  </si>
  <si>
    <t>2535/1-Wire 4x136 Matrix</t>
  </si>
  <si>
    <t>2536/1-Wire 8x68 Matrix</t>
  </si>
  <si>
    <t>2540/1-Wire 8x9 Matrix</t>
  </si>
  <si>
    <t>2541/1-Wire 8x12 Matrix</t>
  </si>
  <si>
    <t>2542/Quad 2x1 Terminated Mux</t>
  </si>
  <si>
    <t>2543/Dual 4x1 Terminated Mux</t>
  </si>
  <si>
    <t>2544/8x1 Terminated Mux</t>
  </si>
  <si>
    <t>2545/4x1 Terminated Mux</t>
  </si>
  <si>
    <t>2546/Dual 4x1 Mux</t>
  </si>
  <si>
    <t>2547/8x1 Mux</t>
  </si>
  <si>
    <t>2548/4-SPDT</t>
  </si>
  <si>
    <t>2549/Terminated 2-SPDT</t>
  </si>
  <si>
    <t>2554/4x1 Mux</t>
  </si>
  <si>
    <t>2555/4x1 Terminated Mux</t>
  </si>
  <si>
    <t>2556/Dual 4x1 Mux</t>
  </si>
  <si>
    <t>2557/8x1 Mux</t>
  </si>
  <si>
    <t>2558/4-SPDT</t>
  </si>
  <si>
    <t>2559/Terminated 2-SPDT</t>
  </si>
  <si>
    <t>2564/16-SPST</t>
  </si>
  <si>
    <t>2564/8-DPST</t>
  </si>
  <si>
    <t>2565/16-SPST</t>
  </si>
  <si>
    <t>2566/16-SPDT</t>
  </si>
  <si>
    <t>2566/8-DPDT</t>
  </si>
  <si>
    <t>2567/Independent</t>
  </si>
  <si>
    <t>2568/15-DPST</t>
  </si>
  <si>
    <t>2568/31-SPST</t>
  </si>
  <si>
    <t>2569/100-SPST</t>
  </si>
  <si>
    <t>2569/50-DPST</t>
  </si>
  <si>
    <t>2570/20-DPDT</t>
  </si>
  <si>
    <t>2570/40-SPDT</t>
  </si>
  <si>
    <t>2571/66-SPDT</t>
  </si>
  <si>
    <t>2575/1-Wire 196x1 Mux</t>
  </si>
  <si>
    <t>2575/2-Wire 95x1 Mux</t>
  </si>
  <si>
    <t>2575/2-Wire 98x1 Mux</t>
  </si>
  <si>
    <t>2576/2-Wire 64x1 Mux</t>
  </si>
  <si>
    <t>2576/2-Wire Dual 32x1 Mux</t>
  </si>
  <si>
    <t>2576/2-Wire Octal 8x1 Mux</t>
  </si>
  <si>
    <t>2576/2-Wire Quad 16x1 Mux</t>
  </si>
  <si>
    <t>2576/2-Wire Sixteen 4x1 Mux</t>
  </si>
  <si>
    <t>2576/Independent</t>
  </si>
  <si>
    <t>2584/1-Wire 12x1 Mux</t>
  </si>
  <si>
    <t>2584/1-Wire Dual 6x1 Mux</t>
  </si>
  <si>
    <t>2584/2-Wire 6x1 Mux</t>
  </si>
  <si>
    <t>2584/Independent</t>
  </si>
  <si>
    <t>2585/1-Wire 10x1 Mux</t>
  </si>
  <si>
    <t>2586/5-DPST</t>
  </si>
  <si>
    <t>2590/4x1 Mux</t>
  </si>
  <si>
    <t>2591/4x1 Mux</t>
  </si>
  <si>
    <t>2593/16x1 Mux</t>
  </si>
  <si>
    <t>2593/8x1 Terminated Mux</t>
  </si>
  <si>
    <t>2593/Dual 4x1 Terminated Mux</t>
  </si>
  <si>
    <t>2593/Dual 8x1 Mux</t>
  </si>
  <si>
    <t>2593/Independent</t>
  </si>
  <si>
    <t>2594/4x1 Mux</t>
  </si>
  <si>
    <t>2595/4x1 Mux</t>
  </si>
  <si>
    <t>2596/Dual 6x1 Mux</t>
  </si>
  <si>
    <t>2597/6x1 Terminated Mux</t>
  </si>
  <si>
    <t>2598/Dual Transfer</t>
  </si>
  <si>
    <t>2599/2-SPDT</t>
  </si>
  <si>
    <t>2720/Independent</t>
  </si>
  <si>
    <t>2722/Independent</t>
  </si>
  <si>
    <t>2725/Independent</t>
  </si>
  <si>
    <t>2727/Independent</t>
  </si>
  <si>
    <t>2737/2-Wire 4x64 Matrix</t>
  </si>
  <si>
    <t>2738/2-Wire 8x32 Matrix</t>
  </si>
  <si>
    <t>2739/2-Wire 16x16 Matrix</t>
  </si>
  <si>
    <t>2746/Quad 4x1 Mux</t>
  </si>
  <si>
    <t>2747/Dual 8x1 Mux</t>
  </si>
  <si>
    <t>2748/16x1 Mux</t>
  </si>
  <si>
    <t>2790/Independent</t>
  </si>
  <si>
    <t>2796/Dual 6x1 Mux</t>
  </si>
  <si>
    <t>2797/6x1 Terminated Mux</t>
  </si>
  <si>
    <t>2798/Dual Transfer</t>
  </si>
  <si>
    <t>2799/2-SPDT</t>
  </si>
  <si>
    <t>DCPS_05</t>
  </si>
  <si>
    <t>Keysight</t>
  </si>
  <si>
    <t>192.168.1.107</t>
  </si>
  <si>
    <t>Keysight_PS5</t>
  </si>
  <si>
    <t>N6700C</t>
  </si>
  <si>
    <t>MY56303237</t>
  </si>
  <si>
    <t>Output Enabled</t>
  </si>
  <si>
    <t>Output Control</t>
  </si>
  <si>
    <t>Output Control Pin</t>
  </si>
  <si>
    <t>PreTest Voltage (V)</t>
  </si>
  <si>
    <t>PreTest Current (A)</t>
  </si>
  <si>
    <t>Voltage Low (V)</t>
  </si>
  <si>
    <t>Voltage Nominal (V)</t>
  </si>
  <si>
    <t>Voltage High (V)</t>
  </si>
  <si>
    <t>Current Limit (A)</t>
  </si>
  <si>
    <t>Slew Rate (Rise)</t>
  </si>
  <si>
    <t>Slew Rate (Fall)</t>
  </si>
  <si>
    <t>Start Time (s)</t>
  </si>
  <si>
    <t>Stop Time (s)</t>
  </si>
  <si>
    <t>Limit Behavior</t>
  </si>
  <si>
    <t>DISCRETE_A</t>
  </si>
  <si>
    <t>DISCRETE_A, Keysight 1, Ch1, N6752</t>
  </si>
  <si>
    <t>Driver</t>
  </si>
  <si>
    <t>Not Used</t>
  </si>
  <si>
    <t>Regulatory</t>
  </si>
  <si>
    <t>DISCRETE_B</t>
  </si>
  <si>
    <t>DISCRETE_B, Keysight 1, Ch2, N6752</t>
  </si>
  <si>
    <t>DISCRETE_C</t>
  </si>
  <si>
    <t>DISCRETE_C, Keysight 1, Ch3, N6752</t>
  </si>
  <si>
    <t>DISCRETE_D</t>
  </si>
  <si>
    <t>DISCRETE_D, Keysight 1, Ch4, N6752</t>
  </si>
  <si>
    <t>DCPS_06</t>
  </si>
  <si>
    <t>192.168.1.108</t>
  </si>
  <si>
    <t>Keysight_PS6</t>
  </si>
  <si>
    <t>ICU_CMP_MON_PWR_CH1, Keysight 2, Ch1, N6752</t>
  </si>
  <si>
    <t>WEM_WH_TX_MON_PWR_CH2, Keysight 2, Ch2, N6752</t>
  </si>
  <si>
    <t>FUNC_PWR_1</t>
  </si>
  <si>
    <t>FUNC_PWR_1, Keysight 2, Ch3, N6752</t>
  </si>
  <si>
    <t>FUNC_PWR_2</t>
  </si>
  <si>
    <t>FUNC_PWR_2, Keysight 2, Ch4, N6752</t>
  </si>
  <si>
    <t>DCPS_07</t>
  </si>
  <si>
    <t>192.168.1.109</t>
  </si>
  <si>
    <t>Keysight_PS7</t>
  </si>
  <si>
    <t>EXT_PWR_ENABLE</t>
  </si>
  <si>
    <t>EXT_PWR_ENABLE, Keysight 3, Ch1, N6752</t>
  </si>
  <si>
    <t>TMTO_PWR</t>
  </si>
  <si>
    <t>TMTO_PWR, Keysight 3, Ch2, N6752</t>
  </si>
  <si>
    <t>EXT_PWR</t>
  </si>
  <si>
    <t>EXT_PWR, Keysight 3, Ch3, N6752</t>
  </si>
  <si>
    <t>ITA Front Panel1</t>
  </si>
  <si>
    <t>ITA Front Panel, Keysight 3, Ch4, N6752</t>
  </si>
  <si>
    <t>DCPS_08</t>
  </si>
  <si>
    <t>192.168.1.110</t>
  </si>
  <si>
    <t>Keysight_PS8</t>
  </si>
  <si>
    <t>AFS_A0X_PWR</t>
  </si>
  <si>
    <t>AFS_A0X_PWR, Keysight 4, Ch1, N6752</t>
  </si>
  <si>
    <t>WEM_ANALOG_STATE_A_RST, Keysight 4, Ch2, N6752</t>
  </si>
  <si>
    <t>AFT_TM_BATT_PWR</t>
  </si>
  <si>
    <t>AFT_TM_BATT_PWR, Keysight 4, Ch3, N6752</t>
  </si>
  <si>
    <t>A3_PWR</t>
  </si>
  <si>
    <t>A3_PWR, Keysight 4, Ch4, N6752</t>
  </si>
  <si>
    <t>DCPS_09</t>
  </si>
  <si>
    <t>192.168.1.111</t>
  </si>
  <si>
    <t>Keysight_PS9</t>
  </si>
  <si>
    <t>ITA_PWR</t>
  </si>
  <si>
    <t>FET_BOARD_PWR, Keysight 5, Ch1, ITA Power</t>
  </si>
  <si>
    <t>A2</t>
  </si>
  <si>
    <t>A2, Keysight 5, Ch2, N6752</t>
  </si>
  <si>
    <t>A4</t>
  </si>
  <si>
    <t>A4, Keysight 5, Ch3, N6752</t>
  </si>
  <si>
    <t>A4_3600_VOLTAGE_SET</t>
  </si>
  <si>
    <t>A4_3600_VOLTAGE_SET, Keysight 5, Ch4, N6776</t>
  </si>
  <si>
    <t>DCPS_01</t>
  </si>
  <si>
    <t>Lambda Gen Plus</t>
  </si>
  <si>
    <t>192.168.1.103</t>
  </si>
  <si>
    <t>AO Power, DCPS_01</t>
  </si>
  <si>
    <t>GH40-25</t>
  </si>
  <si>
    <t>Cycle Duration (ms)</t>
  </si>
  <si>
    <t>Off Duration (us)</t>
  </si>
  <si>
    <t>Seed</t>
  </si>
  <si>
    <t>AO Power</t>
  </si>
  <si>
    <t>DCPS_02</t>
  </si>
  <si>
    <t>192.168.1.104</t>
  </si>
  <si>
    <t>BATT_VOLTAGE, DCPS_02</t>
  </si>
  <si>
    <t>BATT_VOLTAGE</t>
  </si>
  <si>
    <t>DCPS_03</t>
  </si>
  <si>
    <t>192.168.1.105</t>
  </si>
  <si>
    <t>A1_PWR, DCPS_03</t>
  </si>
  <si>
    <t>A1_PWR</t>
  </si>
  <si>
    <t>DCPS_04</t>
  </si>
  <si>
    <t>192.168.1.106</t>
  </si>
  <si>
    <t>EXT_TM_PWR, DCPS_04</t>
  </si>
  <si>
    <t>EXT_TM_PWR</t>
  </si>
  <si>
    <t>Input
Alias</t>
  </si>
  <si>
    <t>Initial Resistance
Ω</t>
  </si>
  <si>
    <t>Squib
Duration(s)</t>
  </si>
  <si>
    <t>Squib Resistance
Ω</t>
  </si>
  <si>
    <t>Squib 2
Duration(s)</t>
  </si>
  <si>
    <t>Squib Resistance 2
Ω</t>
  </si>
  <si>
    <t>End Resistance
Ω</t>
  </si>
  <si>
    <t>Monitor</t>
  </si>
  <si>
    <t>Control</t>
  </si>
  <si>
    <t>Initial Resistor Values (Ω)</t>
  </si>
  <si>
    <t>Squib Resistor Values (Ω)</t>
  </si>
  <si>
    <t>Squib 2 Resistor Values (Ω)</t>
  </si>
  <si>
    <t>End Resistor Values (Ω)</t>
  </si>
  <si>
    <t>Threshold (V)</t>
  </si>
  <si>
    <t>Device</t>
  </si>
  <si>
    <t>Pin</t>
  </si>
  <si>
    <t>Port</t>
  </si>
  <si>
    <t>R-01</t>
  </si>
  <si>
    <t>NI-9229_01</t>
  </si>
  <si>
    <t>AI_00</t>
  </si>
  <si>
    <t>NI-9403_01</t>
  </si>
  <si>
    <t>DIO_07:00</t>
  </si>
  <si>
    <t>R-02</t>
  </si>
  <si>
    <t>AI_01</t>
  </si>
  <si>
    <t>DIO_15:08</t>
  </si>
  <si>
    <t>R-03</t>
  </si>
  <si>
    <t>AI_02</t>
  </si>
  <si>
    <t>DIO_23:16</t>
  </si>
  <si>
    <t>R-04</t>
  </si>
  <si>
    <t>AI_03</t>
  </si>
  <si>
    <t>DIO_31:24</t>
  </si>
  <si>
    <t>R-05</t>
  </si>
  <si>
    <t>NI-9229_02</t>
  </si>
  <si>
    <t>NI-9403_02</t>
  </si>
  <si>
    <t>R-06</t>
  </si>
  <si>
    <t>R-07</t>
  </si>
  <si>
    <t>R-08</t>
  </si>
  <si>
    <t>Resistor Reference Table</t>
  </si>
  <si>
    <t>Resistor Input</t>
  </si>
  <si>
    <t>Resistor Value 01</t>
  </si>
  <si>
    <t>Resistor Value 02</t>
  </si>
  <si>
    <t>Resistor Value 03</t>
  </si>
  <si>
    <t>Resistor Value 04</t>
  </si>
  <si>
    <t>Resistor Value 05</t>
  </si>
  <si>
    <t>Resistor Value 06</t>
  </si>
  <si>
    <t>Resistor Value 07</t>
  </si>
  <si>
    <t>Resistor Value 08</t>
  </si>
  <si>
    <t>Bitfile Path</t>
  </si>
  <si>
    <t>Trigger Window - Low</t>
  </si>
  <si>
    <t>Trigger Window - High</t>
  </si>
  <si>
    <t>UART Bit Order</t>
  </si>
  <si>
    <t>UART Message Length (Bits)</t>
  </si>
  <si>
    <t>UART Sample Rate</t>
  </si>
  <si>
    <t>PXIe-7867R</t>
  </si>
  <si>
    <t>PXIe-7867R_01</t>
  </si>
  <si>
    <t>FPGA</t>
  </si>
  <si>
    <t>C:\CORE\Modules\SE3686\bin\FPGA Bitfiles\PXIe-7867R\PXIe-7867R_SE3686.lvbitx</t>
  </si>
  <si>
    <t>LSb to MSb</t>
  </si>
  <si>
    <t>Dropout Parameters</t>
  </si>
  <si>
    <t>Channel Type</t>
  </si>
  <si>
    <t>Offset (% of Cycle)</t>
  </si>
  <si>
    <t>Connector0/DIO00</t>
  </si>
  <si>
    <t>AFS_AFE_MON_DO</t>
  </si>
  <si>
    <t>Pull Down Board</t>
  </si>
  <si>
    <t>DO</t>
  </si>
  <si>
    <t>Connector0/DIO01</t>
  </si>
  <si>
    <t>AFS_AFI_MON_DO</t>
  </si>
  <si>
    <t>Connector0/DIO02</t>
  </si>
  <si>
    <t>WEM_ANALOG_STATE_A_RST_DO</t>
  </si>
  <si>
    <t>PS8, CH2, FET2</t>
  </si>
  <si>
    <t>Connector0/DIO03</t>
  </si>
  <si>
    <t>FUNC_PWR_1_DO</t>
  </si>
  <si>
    <t>PS6, CH3</t>
  </si>
  <si>
    <t>Connector0/DIO04</t>
  </si>
  <si>
    <t>FUNC_PWR_2_DO</t>
  </si>
  <si>
    <t>PS6, CH4</t>
  </si>
  <si>
    <t>Connector1/DIO00</t>
  </si>
  <si>
    <t>DISCRETE_A_DO</t>
  </si>
  <si>
    <t>PS5, CH1</t>
  </si>
  <si>
    <t>Connector1/DIO01</t>
  </si>
  <si>
    <t>DISCRETE_B_DO</t>
  </si>
  <si>
    <t>PS5, CH2</t>
  </si>
  <si>
    <t>Connector1/DIO02</t>
  </si>
  <si>
    <t>DISCRETE_C_DO</t>
  </si>
  <si>
    <t>PS5, CH3</t>
  </si>
  <si>
    <t>Connector1/DIO03</t>
  </si>
  <si>
    <t>DISCRETE_D_DO</t>
  </si>
  <si>
    <t>PS5, CH4</t>
  </si>
  <si>
    <t>Connector1/DIO04</t>
  </si>
  <si>
    <t>TMTO_DO</t>
  </si>
  <si>
    <t>PS7, CH2</t>
  </si>
  <si>
    <t>Connector1/DIO05</t>
  </si>
  <si>
    <t>A00_DO</t>
  </si>
  <si>
    <t>PS1 (Shared)</t>
  </si>
  <si>
    <t>Connector1/DIO06</t>
  </si>
  <si>
    <t>A01_DO</t>
  </si>
  <si>
    <t>Connector1/DIO07</t>
  </si>
  <si>
    <t>A02_DO</t>
  </si>
  <si>
    <t>Connector1/DIO08</t>
  </si>
  <si>
    <t>A03_DO</t>
  </si>
  <si>
    <t>Connector1/DIO09</t>
  </si>
  <si>
    <t>A3_PWR_DO</t>
  </si>
  <si>
    <t>PS8, CH4, FET2</t>
  </si>
  <si>
    <t>Connector1/DIO10</t>
  </si>
  <si>
    <t>A1_PWR_DO</t>
  </si>
  <si>
    <t>PS3, FET1M</t>
  </si>
  <si>
    <t>Connector1/DIO11</t>
  </si>
  <si>
    <t>EXT_PWR_ENABLE_DO</t>
  </si>
  <si>
    <t>PS7, CH1</t>
  </si>
  <si>
    <t>Connector1/DIO12</t>
  </si>
  <si>
    <t>EXT_TM_PWR_DO</t>
  </si>
  <si>
    <t>PS4 (GH40-25)</t>
  </si>
  <si>
    <t>Connector1/DIO13</t>
  </si>
  <si>
    <t>BATT_VOLTAGE_DO</t>
  </si>
  <si>
    <t>PS2, FET1</t>
  </si>
  <si>
    <t>Connector1/DIO14</t>
  </si>
  <si>
    <t>AFT_TM_BATT_DO</t>
  </si>
  <si>
    <t>PS8, CH3, FET1</t>
  </si>
  <si>
    <t>Connector1/DIO15</t>
  </si>
  <si>
    <t>WEM_WH_TX_MON_PWR_DO</t>
  </si>
  <si>
    <t>PS6, CH2</t>
  </si>
  <si>
    <t>Connector1/DIO16</t>
  </si>
  <si>
    <t>EXT_PWR_DO</t>
  </si>
  <si>
    <t>PS7, CH3</t>
  </si>
  <si>
    <t>Connector1/DIO17</t>
  </si>
  <si>
    <t>ICU_CMP_MON_PWR_DO</t>
  </si>
  <si>
    <t>PS6, Ch1</t>
  </si>
  <si>
    <t>Connector1/DIO18</t>
  </si>
  <si>
    <t>AFS_AOX_PWR_DO</t>
  </si>
  <si>
    <t>PS8, CH1</t>
  </si>
  <si>
    <t>Connector1/DIO19</t>
  </si>
  <si>
    <t>INTERFACE_STATE_A_DO</t>
  </si>
  <si>
    <t>Connector1/DIO20</t>
  </si>
  <si>
    <t>Connector1/DIO21</t>
  </si>
  <si>
    <t>A2_DO</t>
  </si>
  <si>
    <t>PS9, CH2</t>
  </si>
  <si>
    <t>Connector1/DIO22</t>
  </si>
  <si>
    <t>A4_CHARGE_DO</t>
  </si>
  <si>
    <t>3600 A4 charge</t>
  </si>
  <si>
    <t>Connector1/DIO23</t>
  </si>
  <si>
    <t>A4_TRIGGER_DO</t>
  </si>
  <si>
    <t>3600 A4 trigger</t>
  </si>
  <si>
    <t>cRIO-9057</t>
  </si>
  <si>
    <t>192.168.1.120</t>
  </si>
  <si>
    <t>RIO0</t>
  </si>
  <si>
    <t>C:\CORE\Modules\SE3686\bin\FPGA Bitfiles\cRIO-9057\cRIO_SE3686.lvbitx</t>
  </si>
  <si>
    <t>FPGA_SquibEmulation</t>
  </si>
  <si>
    <t>Simulated</t>
  </si>
  <si>
    <t>FPGATarget_Test</t>
  </si>
  <si>
    <t>FPGA_Test</t>
  </si>
  <si>
    <t>Timed DO Events</t>
  </si>
  <si>
    <t>Event Time (s)</t>
  </si>
  <si>
    <t>Special Event</t>
  </si>
  <si>
    <t>DO Pin(s)</t>
  </si>
  <si>
    <t>State(s)</t>
  </si>
  <si>
    <t>Override</t>
  </si>
  <si>
    <t>T</t>
  </si>
  <si>
    <t>timeLDSLMonStart</t>
  </si>
  <si>
    <t>Needs a timing from CD, just used 1s</t>
  </si>
  <si>
    <t>LDSL Power</t>
  </si>
  <si>
    <t xml:space="preserve">%timeUQS2Start% </t>
  </si>
  <si>
    <t>timing from Table 102</t>
  </si>
  <si>
    <t xml:space="preserve">%timeUQS1Start%  </t>
  </si>
  <si>
    <t xml:space="preserve">%timeA00% </t>
  </si>
  <si>
    <t xml:space="preserve">%timeA01% </t>
  </si>
  <si>
    <t xml:space="preserve">%timeA02% </t>
  </si>
  <si>
    <t xml:space="preserve">%timeA03% </t>
  </si>
  <si>
    <t>%timeA1%  </t>
  </si>
  <si>
    <t>%timeA2%</t>
  </si>
  <si>
    <t>%timeA3%</t>
  </si>
  <si>
    <t>Turn A1 and A3 off</t>
  </si>
  <si>
    <t>Just left the power on for 5 seconds, no timing given</t>
  </si>
  <si>
    <t>Turn ICU off</t>
  </si>
  <si>
    <t>in event time, put -1 if you want it to occur immediately after the last event for special events only</t>
  </si>
  <si>
    <t>F</t>
  </si>
  <si>
    <t>Sample Rate</t>
  </si>
  <si>
    <t>Number of Samples</t>
  </si>
  <si>
    <t>Trigger Type</t>
  </si>
  <si>
    <t>Trigger Coupling</t>
  </si>
  <si>
    <t>Trigger Level 1 (V)</t>
  </si>
  <si>
    <t>Trigger Level 2 (V)</t>
  </si>
  <si>
    <t>Pretrigger (%)</t>
  </si>
  <si>
    <t>Trigger Group</t>
  </si>
  <si>
    <t>PXIe-5105_01</t>
  </si>
  <si>
    <t>PXIe-5105_01 Slot 11</t>
  </si>
  <si>
    <t>Analog Edge - Positive</t>
  </si>
  <si>
    <t>DC</t>
  </si>
  <si>
    <t>Channel 0</t>
  </si>
  <si>
    <t>Gain</t>
  </si>
  <si>
    <t>Offset</t>
  </si>
  <si>
    <t>V. Range</t>
  </si>
  <si>
    <t>V. Offset</t>
  </si>
  <si>
    <t>Attenuation</t>
  </si>
  <si>
    <t>Coupling</t>
  </si>
  <si>
    <t>Impedance</t>
  </si>
  <si>
    <t>A3_VMON_SCOPE</t>
  </si>
  <si>
    <t>A3_VMON_SCOPE, PXIe-5105_01 Ch0</t>
  </si>
  <si>
    <t>Volts</t>
  </si>
  <si>
    <t>1M</t>
  </si>
  <si>
    <t>A3_IMON</t>
  </si>
  <si>
    <t>A3_IMON, PXIe-5105_01 Ch1</t>
  </si>
  <si>
    <t>FSA_MAIN_GD_MON</t>
  </si>
  <si>
    <t>FSA_MAIN_GD_MON, PXIe-5105_01 Ch2</t>
  </si>
  <si>
    <t>FSA_MAIN_FET_DRV_VMON</t>
  </si>
  <si>
    <t>FSA_MAIN_FET_DRV_VMON, PXIe-5105_01 Ch3</t>
  </si>
  <si>
    <t>FSA_AUX_GD_MON</t>
  </si>
  <si>
    <t>FSA_AUX_GD_MON, PXIe-5105_01 Ch4</t>
  </si>
  <si>
    <t>FSA_AUX_FET_DRIVER_VMON</t>
  </si>
  <si>
    <t>FSA_AUX_FET_DRIVER_VMON, PXIe-5105_01 Ch5</t>
  </si>
  <si>
    <t>FSA_A3_VMON_SCOPE</t>
  </si>
  <si>
    <t>FSA_A3_VMON_SCOPE, PXIe-5105_01 Ch6</t>
  </si>
  <si>
    <t>FSA_A3_CAP_MON</t>
  </si>
  <si>
    <t>FSA_A3_CAP_MON, PXIe-5105_01 Ch7</t>
  </si>
  <si>
    <t>PXIe-5105_02</t>
  </si>
  <si>
    <t>PXIe-5105_02 Slot 12</t>
  </si>
  <si>
    <t>FSA_A2_SW_VMON</t>
  </si>
  <si>
    <t>PXIe-5105_02, Ch0, FSA_A2_SW_VMON</t>
  </si>
  <si>
    <t>ICU_A3_VMON_SCOPE</t>
  </si>
  <si>
    <t>PXIe-5105_02, ICU_A3_VMON_SCOPE</t>
  </si>
  <si>
    <t>ICU_A2_VMON_SCOPE</t>
  </si>
  <si>
    <t>PXIe-5105_02, ICU_A2_VMON_SCOPE</t>
  </si>
  <si>
    <t>ICU_TMTO_SCOPE</t>
  </si>
  <si>
    <t>PXIe-5105_02, Ch3, ICU_TMTO_SCOPE</t>
  </si>
  <si>
    <t>HSScopeCH_03</t>
  </si>
  <si>
    <t>HSScopeCH_04</t>
  </si>
  <si>
    <t>PXIe-5105_03</t>
  </si>
  <si>
    <t>PXIe-5105_03 Slot 13</t>
  </si>
  <si>
    <t>Window - Leaving</t>
  </si>
  <si>
    <t>HSScopeCH_05</t>
  </si>
  <si>
    <t>HSScopeCH_06</t>
  </si>
  <si>
    <t>PXIe-5162_01</t>
  </si>
  <si>
    <t>PXIe-5162_01 Slot 14</t>
  </si>
  <si>
    <t>Ch0</t>
  </si>
  <si>
    <t>FSA_MAIN_DRIVE_MON</t>
  </si>
  <si>
    <t>FSA_MAIN_DRIVE_MON, J113</t>
  </si>
  <si>
    <t>FSA_AUX_DRIVE_MON</t>
  </si>
  <si>
    <t>FSA_AUX_DRIVE_MON, J114</t>
  </si>
  <si>
    <t>HSScopeCH_07</t>
  </si>
  <si>
    <t>HSScopeCH_08</t>
  </si>
  <si>
    <t>PXIe-5162_02</t>
  </si>
  <si>
    <t>PXIe-5162_02 Slot 16</t>
  </si>
  <si>
    <t>Analog Edge - Negative</t>
  </si>
  <si>
    <t>A4_VMON_DIVIDED</t>
  </si>
  <si>
    <t>A4 VMON divided down</t>
  </si>
  <si>
    <t>HSScopeCH_10</t>
  </si>
  <si>
    <t>PXIe-5162_03</t>
  </si>
  <si>
    <t>PXIe-5162_03 Slot 18</t>
  </si>
  <si>
    <t>HSScopeCH_11</t>
  </si>
  <si>
    <t>HSScopeCH_12</t>
  </si>
  <si>
    <t>Tektronix MSO5 Series</t>
  </si>
  <si>
    <t>192.168.1.102</t>
  </si>
  <si>
    <t>MS058LP</t>
  </si>
  <si>
    <t>Tektronix MS058LP High speed scope</t>
  </si>
  <si>
    <t>CH3</t>
  </si>
  <si>
    <t xml:space="preserve"> </t>
  </si>
  <si>
    <t>CH1</t>
  </si>
  <si>
    <t>A4_VMON_SCOPE</t>
  </si>
  <si>
    <t>A4_VMON_SCOPE,MS0LP_CH1</t>
  </si>
  <si>
    <t>CH2</t>
  </si>
  <si>
    <t>A4_IMON_SCOPE</t>
  </si>
  <si>
    <t>A4_IMON_SCOPE,MS0LP_CH2</t>
  </si>
  <si>
    <t>A2_VMON</t>
  </si>
  <si>
    <t>A2_Vmon,MS0LP_CH3</t>
  </si>
  <si>
    <t>CH4</t>
  </si>
  <si>
    <t>A2_Current</t>
  </si>
  <si>
    <t>A2_Current,MS0LP_CH4</t>
  </si>
  <si>
    <t>CH5</t>
  </si>
  <si>
    <t>FSA_A4_VMON_SCOPE</t>
  </si>
  <si>
    <t>FSA_A4_VMON_SCOPE,MS0LP_CH5</t>
  </si>
  <si>
    <t>CH6</t>
  </si>
  <si>
    <t>Main_CVR</t>
  </si>
  <si>
    <t>Main_CVR,MS0LP_CH6</t>
  </si>
  <si>
    <t>CH7</t>
  </si>
  <si>
    <t>AUX_CVR</t>
  </si>
  <si>
    <t>AUX_CVR,MS0LP_CH7</t>
  </si>
  <si>
    <t>CH8</t>
  </si>
  <si>
    <t>WEM_CVR</t>
  </si>
  <si>
    <t>WEM_CVR,MS0LP_CH8</t>
  </si>
  <si>
    <t>Example (Abstract)</t>
  </si>
  <si>
    <t>Example Address</t>
  </si>
  <si>
    <t>Example Alias</t>
  </si>
  <si>
    <t>Example Description</t>
  </si>
  <si>
    <t>Example Channel Alias</t>
  </si>
  <si>
    <t>Example Channel Description</t>
  </si>
  <si>
    <t>NI-FGEN</t>
  </si>
  <si>
    <t>PXIe-5423_01</t>
  </si>
  <si>
    <t>ARB</t>
  </si>
  <si>
    <t>ARB_Ch2</t>
  </si>
  <si>
    <t>ARB_Ch1</t>
  </si>
  <si>
    <t>ARB Channel 0</t>
  </si>
  <si>
    <t>ARB Channel 1</t>
  </si>
  <si>
    <t>dsanch3</t>
  </si>
  <si>
    <t>Sample Rate (Sam/s)</t>
  </si>
  <si>
    <t>Samples</t>
  </si>
  <si>
    <t>Amplitude</t>
  </si>
  <si>
    <t>Output Mode</t>
  </si>
  <si>
    <t>Impedance (Ohm)</t>
  </si>
  <si>
    <t>ARB Gain</t>
  </si>
  <si>
    <t xml:space="preserve">Trigger </t>
  </si>
  <si>
    <t>100M</t>
  </si>
  <si>
    <t>100K</t>
  </si>
  <si>
    <t>Script</t>
  </si>
  <si>
    <t>Script Trigger</t>
  </si>
  <si>
    <t>TMTO Pre-Launch (s)</t>
  </si>
  <si>
    <t>TMTO Launch (ms)</t>
  </si>
  <si>
    <t>TMTO Launch Delay (ms)</t>
  </si>
  <si>
    <t>FSI (s)</t>
  </si>
  <si>
    <t>SCRUB Launch</t>
  </si>
  <si>
    <t>TMTO Sequence Frequency (Hz)</t>
  </si>
  <si>
    <t>Duty Cycle (%)</t>
  </si>
  <si>
    <t>ARB Offset</t>
  </si>
  <si>
    <t>Output Channel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</si>
</sst>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d/yy\ h:mm\ AM/PM;@"/>
    <numFmt numFmtId="165" formatCode="0.000"/>
  </numFmts>
  <fonts count="13" x14ac:knownFonts="1">
    <font>
      <sz val="11"/>
      <color theme="1"/>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sz val="10"/>
      <color theme="1"/>
      <name val="Calibri"/>
      <family val="2"/>
    </font>
    <font>
      <b/>
      <sz val="11"/>
      <color theme="1"/>
      <name val="Calibri"/>
      <family val="2"/>
      <scheme val="minor"/>
    </font>
    <font>
      <sz val="10"/>
      <name val="Calibri"/>
      <family val="2"/>
      <scheme val="minor"/>
    </font>
    <font>
      <sz val="10"/>
      <color rgb="FF000000"/>
      <name val="Calibri"/>
      <family val="2"/>
      <scheme val="minor"/>
    </font>
    <font>
      <sz val="12"/>
      <color theme="1"/>
      <name val="Calibri"/>
      <family val="2"/>
      <scheme val="minor"/>
    </font>
    <font>
      <sz val="11"/>
      <color rgb="FF000000"/>
      <name val="Calibri"/>
      <family val="2"/>
      <scheme val="minor"/>
    </font>
    <font>
      <sz val="10"/>
      <color rgb="FF000000"/>
      <name val="Times New Roman"/>
      <family val="1"/>
    </font>
    <font>
      <sz val="11"/>
      <color rgb="FF000000"/>
      <name val="Calibri"/>
      <family val="2"/>
    </font>
    <font>
      <sz val="8"/>
      <name val="Calibri"/>
      <family val="2"/>
      <scheme val="minor"/>
    </font>
  </fonts>
  <fills count="10">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6"/>
        <bgColor indexed="64"/>
      </patternFill>
    </fill>
    <fill>
      <patternFill patternType="solid">
        <fgColor rgb="FFFFFF00"/>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s>
  <borders count="51">
    <border>
      <left/>
      <right/>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style="thin">
        <color auto="1"/>
      </right>
      <top/>
      <bottom style="double">
        <color indexed="64"/>
      </bottom>
      <diagonal/>
    </border>
    <border>
      <left/>
      <right style="thin">
        <color indexed="64"/>
      </right>
      <top style="double">
        <color indexed="64"/>
      </top>
      <bottom/>
      <diagonal/>
    </border>
    <border>
      <left/>
      <right/>
      <top style="double">
        <color indexed="64"/>
      </top>
      <bottom/>
      <diagonal/>
    </border>
    <border>
      <left style="thin">
        <color auto="1"/>
      </left>
      <right/>
      <top/>
      <bottom style="double">
        <color indexed="64"/>
      </bottom>
      <diagonal/>
    </border>
    <border>
      <left style="thin">
        <color indexed="64"/>
      </left>
      <right style="thin">
        <color indexed="64"/>
      </right>
      <top/>
      <bottom style="thin">
        <color indexed="64"/>
      </bottom>
      <diagonal/>
    </border>
    <border>
      <left/>
      <right style="thin">
        <color auto="1"/>
      </right>
      <top style="thin">
        <color auto="1"/>
      </top>
      <bottom/>
      <diagonal/>
    </border>
    <border>
      <left/>
      <right/>
      <top style="thin">
        <color indexed="64"/>
      </top>
      <bottom/>
      <diagonal/>
    </border>
    <border>
      <left style="thin">
        <color auto="1"/>
      </left>
      <right/>
      <top style="double">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double">
        <color indexed="64"/>
      </right>
      <top/>
      <bottom style="double">
        <color indexed="64"/>
      </bottom>
      <diagonal/>
    </border>
    <border>
      <left/>
      <right style="double">
        <color indexed="64"/>
      </right>
      <top/>
      <bottom/>
      <diagonal/>
    </border>
    <border>
      <left/>
      <right style="double">
        <color indexed="64"/>
      </right>
      <top style="double">
        <color indexed="64"/>
      </top>
      <bottom/>
      <diagonal/>
    </border>
    <border>
      <left style="thin">
        <color auto="1"/>
      </left>
      <right style="thin">
        <color auto="1"/>
      </right>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auto="1"/>
      </top>
      <bottom/>
      <diagonal/>
    </border>
    <border>
      <left style="medium">
        <color indexed="64"/>
      </left>
      <right style="medium">
        <color indexed="64"/>
      </right>
      <top style="medium">
        <color indexed="64"/>
      </top>
      <bottom style="thin">
        <color auto="1"/>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52">
    <xf numFmtId="0" fontId="0" fillId="0" borderId="0" xfId="0"/>
    <xf numFmtId="0" fontId="2" fillId="3" borderId="9" xfId="0" applyFont="1" applyFill="1" applyBorder="1" applyAlignment="1">
      <alignment horizontal="center"/>
    </xf>
    <xf numFmtId="0" fontId="1" fillId="3" borderId="9" xfId="0" quotePrefix="1" applyFont="1" applyFill="1" applyBorder="1" applyAlignment="1">
      <alignment horizontal="center"/>
    </xf>
    <xf numFmtId="0" fontId="1" fillId="3" borderId="10" xfId="0" applyFont="1" applyFill="1" applyBorder="1" applyAlignment="1">
      <alignment horizontal="center"/>
    </xf>
    <xf numFmtId="0" fontId="1" fillId="3" borderId="10" xfId="0" quotePrefix="1" applyFont="1" applyFill="1" applyBorder="1" applyAlignment="1">
      <alignment horizontal="center"/>
    </xf>
    <xf numFmtId="0" fontId="1" fillId="3" borderId="10" xfId="0" applyFont="1" applyFill="1" applyBorder="1"/>
    <xf numFmtId="0" fontId="1" fillId="2" borderId="9" xfId="0" quotePrefix="1" applyFont="1" applyFill="1" applyBorder="1" applyAlignment="1">
      <alignment horizontal="center"/>
    </xf>
    <xf numFmtId="14" fontId="1" fillId="2" borderId="9" xfId="0" applyNumberFormat="1" applyFont="1" applyFill="1" applyBorder="1" applyAlignment="1">
      <alignment horizontal="center"/>
    </xf>
    <xf numFmtId="0" fontId="2" fillId="2" borderId="9" xfId="0" applyFont="1" applyFill="1" applyBorder="1" applyAlignment="1">
      <alignment horizontal="center"/>
    </xf>
    <xf numFmtId="0" fontId="1" fillId="2" borderId="10" xfId="0" applyFont="1" applyFill="1" applyBorder="1"/>
    <xf numFmtId="14" fontId="1" fillId="3" borderId="9" xfId="0" applyNumberFormat="1" applyFont="1" applyFill="1" applyBorder="1" applyAlignment="1">
      <alignment horizontal="center"/>
    </xf>
    <xf numFmtId="0" fontId="1" fillId="3" borderId="2" xfId="0" applyFont="1" applyFill="1" applyBorder="1" applyAlignment="1">
      <alignment horizontal="center"/>
    </xf>
    <xf numFmtId="0" fontId="1" fillId="3" borderId="0" xfId="0" applyFont="1" applyFill="1"/>
    <xf numFmtId="0" fontId="1" fillId="3" borderId="11" xfId="0" applyFont="1" applyFill="1" applyBorder="1"/>
    <xf numFmtId="0" fontId="0" fillId="3" borderId="2" xfId="0" applyFill="1" applyBorder="1"/>
    <xf numFmtId="0" fontId="1" fillId="3" borderId="14" xfId="0" applyFont="1" applyFill="1" applyBorder="1" applyAlignment="1">
      <alignment horizontal="center"/>
    </xf>
    <xf numFmtId="0" fontId="0" fillId="3" borderId="10" xfId="0" applyFill="1" applyBorder="1"/>
    <xf numFmtId="0" fontId="0" fillId="3" borderId="11" xfId="0" applyFill="1" applyBorder="1"/>
    <xf numFmtId="0" fontId="0" fillId="4" borderId="0" xfId="0" quotePrefix="1" applyFill="1"/>
    <xf numFmtId="11" fontId="1" fillId="3" borderId="9" xfId="0" quotePrefix="1" applyNumberFormat="1" applyFont="1" applyFill="1" applyBorder="1" applyAlignment="1">
      <alignment horizontal="center"/>
    </xf>
    <xf numFmtId="0" fontId="1" fillId="3" borderId="2" xfId="0" applyFont="1" applyFill="1" applyBorder="1"/>
    <xf numFmtId="0" fontId="1" fillId="2" borderId="13" xfId="0" applyFont="1" applyFill="1" applyBorder="1"/>
    <xf numFmtId="0" fontId="1" fillId="2" borderId="12" xfId="0" applyFont="1" applyFill="1" applyBorder="1"/>
    <xf numFmtId="0" fontId="1" fillId="2" borderId="2" xfId="0" applyFont="1" applyFill="1" applyBorder="1"/>
    <xf numFmtId="0" fontId="1" fillId="2" borderId="11" xfId="0" applyFont="1" applyFill="1" applyBorder="1"/>
    <xf numFmtId="0" fontId="0" fillId="4" borderId="0" xfId="0" applyFill="1"/>
    <xf numFmtId="0" fontId="2" fillId="4" borderId="0" xfId="0" applyFont="1" applyFill="1" applyAlignment="1">
      <alignment horizontal="center"/>
    </xf>
    <xf numFmtId="0" fontId="1" fillId="4" borderId="0" xfId="0" quotePrefix="1" applyFont="1" applyFill="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1" fillId="2" borderId="1" xfId="0" quotePrefix="1" applyFont="1" applyFill="1" applyBorder="1" applyAlignment="1">
      <alignment horizontal="center"/>
    </xf>
    <xf numFmtId="11" fontId="1" fillId="2" borderId="2" xfId="0" quotePrefix="1" applyNumberFormat="1" applyFont="1" applyFill="1" applyBorder="1" applyAlignment="1">
      <alignment horizontal="center"/>
    </xf>
    <xf numFmtId="0" fontId="0" fillId="0" borderId="0" xfId="0" applyAlignment="1">
      <alignment horizontal="left"/>
    </xf>
    <xf numFmtId="164" fontId="0" fillId="0" borderId="0" xfId="0" applyNumberFormat="1" applyAlignment="1">
      <alignment horizontal="left"/>
    </xf>
    <xf numFmtId="0" fontId="0" fillId="0" borderId="0" xfId="0" applyAlignment="1">
      <alignment vertical="top"/>
    </xf>
    <xf numFmtId="0" fontId="0" fillId="0" borderId="0" xfId="0" applyAlignment="1">
      <alignment horizontal="left" vertical="top" wrapText="1"/>
    </xf>
    <xf numFmtId="0" fontId="2" fillId="3" borderId="15" xfId="0" applyFont="1" applyFill="1" applyBorder="1" applyAlignment="1">
      <alignment horizontal="center" vertical="center"/>
    </xf>
    <xf numFmtId="0" fontId="2" fillId="3" borderId="15" xfId="0" applyFont="1" applyFill="1" applyBorder="1" applyAlignment="1">
      <alignment horizontal="center"/>
    </xf>
    <xf numFmtId="0" fontId="2" fillId="3" borderId="2" xfId="0" applyFont="1" applyFill="1" applyBorder="1" applyAlignment="1">
      <alignment horizontal="center"/>
    </xf>
    <xf numFmtId="0" fontId="1" fillId="3" borderId="6" xfId="0" quotePrefix="1" applyFont="1" applyFill="1" applyBorder="1" applyAlignment="1">
      <alignment horizontal="center"/>
    </xf>
    <xf numFmtId="0" fontId="2" fillId="3" borderId="3" xfId="0" applyFont="1" applyFill="1" applyBorder="1" applyAlignment="1">
      <alignment horizontal="center"/>
    </xf>
    <xf numFmtId="11" fontId="1" fillId="3" borderId="2" xfId="0" quotePrefix="1" applyNumberFormat="1" applyFont="1" applyFill="1" applyBorder="1" applyAlignment="1">
      <alignment horizontal="center"/>
    </xf>
    <xf numFmtId="1" fontId="1" fillId="3" borderId="9" xfId="0" quotePrefix="1" applyNumberFormat="1" applyFont="1" applyFill="1" applyBorder="1" applyAlignment="1">
      <alignment horizontal="center"/>
    </xf>
    <xf numFmtId="0" fontId="1" fillId="3" borderId="12" xfId="0" applyFont="1" applyFill="1" applyBorder="1" applyAlignment="1">
      <alignment horizontal="center" vertical="center"/>
    </xf>
    <xf numFmtId="0" fontId="1" fillId="3" borderId="2" xfId="0" applyFont="1" applyFill="1" applyBorder="1" applyAlignment="1">
      <alignment vertical="center"/>
    </xf>
    <xf numFmtId="0" fontId="1" fillId="2" borderId="2" xfId="0" applyFont="1" applyFill="1" applyBorder="1" applyAlignment="1">
      <alignment vertical="center"/>
    </xf>
    <xf numFmtId="49" fontId="1" fillId="4" borderId="0" xfId="0" applyNumberFormat="1" applyFont="1" applyFill="1" applyAlignment="1">
      <alignment horizontal="center" vertical="center"/>
    </xf>
    <xf numFmtId="0" fontId="2" fillId="3" borderId="9" xfId="0" applyFont="1" applyFill="1" applyBorder="1"/>
    <xf numFmtId="0" fontId="2" fillId="2" borderId="0" xfId="0" applyFont="1" applyFill="1" applyAlignment="1">
      <alignment horizontal="center"/>
    </xf>
    <xf numFmtId="11" fontId="1" fillId="2" borderId="0" xfId="0" quotePrefix="1" applyNumberFormat="1" applyFont="1" applyFill="1" applyAlignment="1">
      <alignment horizontal="center"/>
    </xf>
    <xf numFmtId="11" fontId="1" fillId="3" borderId="0" xfId="0" quotePrefix="1" applyNumberFormat="1" applyFont="1" applyFill="1" applyAlignment="1">
      <alignment horizontal="center"/>
    </xf>
    <xf numFmtId="0" fontId="1" fillId="2" borderId="9" xfId="0" applyFont="1" applyFill="1" applyBorder="1" applyAlignment="1">
      <alignment horizontal="left"/>
    </xf>
    <xf numFmtId="0" fontId="1" fillId="3" borderId="0" xfId="0" applyFont="1" applyFill="1" applyAlignment="1">
      <alignment horizontal="center"/>
    </xf>
    <xf numFmtId="0" fontId="1" fillId="3" borderId="0" xfId="0" quotePrefix="1" applyFont="1" applyFill="1" applyAlignment="1">
      <alignment horizontal="center" vertical="center"/>
    </xf>
    <xf numFmtId="0" fontId="1" fillId="3" borderId="7" xfId="0" quotePrefix="1" applyFont="1" applyFill="1" applyBorder="1" applyAlignment="1">
      <alignment horizontal="center" vertical="center"/>
    </xf>
    <xf numFmtId="0" fontId="1" fillId="3" borderId="8" xfId="0" quotePrefix="1" applyFont="1" applyFill="1" applyBorder="1" applyAlignment="1">
      <alignment horizontal="center" vertical="center"/>
    </xf>
    <xf numFmtId="0" fontId="1" fillId="2" borderId="0" xfId="0" quotePrefix="1" applyFont="1" applyFill="1" applyAlignment="1">
      <alignment horizontal="center" vertical="center"/>
    </xf>
    <xf numFmtId="0" fontId="1" fillId="2" borderId="7" xfId="0" quotePrefix="1" applyFont="1" applyFill="1" applyBorder="1" applyAlignment="1">
      <alignment horizontal="center" vertical="center"/>
    </xf>
    <xf numFmtId="0" fontId="1" fillId="2" borderId="8" xfId="0" quotePrefix="1" applyFont="1" applyFill="1" applyBorder="1" applyAlignment="1">
      <alignment horizontal="center" vertical="center"/>
    </xf>
    <xf numFmtId="0" fontId="2" fillId="3" borderId="9" xfId="0" applyFont="1" applyFill="1" applyBorder="1" applyAlignment="1">
      <alignment horizontal="center" vertical="center"/>
    </xf>
    <xf numFmtId="14" fontId="1" fillId="3" borderId="9" xfId="0" applyNumberFormat="1" applyFont="1" applyFill="1" applyBorder="1" applyAlignment="1">
      <alignment horizontal="center" vertical="center"/>
    </xf>
    <xf numFmtId="0" fontId="1" fillId="3" borderId="2" xfId="0" applyFont="1" applyFill="1" applyBorder="1" applyAlignment="1">
      <alignment horizontal="center"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2" borderId="2" xfId="0" applyFont="1" applyFill="1" applyBorder="1" applyAlignment="1">
      <alignment horizontal="center" vertical="center"/>
    </xf>
    <xf numFmtId="14" fontId="1" fillId="2" borderId="9"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3" xfId="0" applyFont="1" applyFill="1" applyBorder="1" applyAlignment="1">
      <alignment horizontal="center" vertical="center"/>
    </xf>
    <xf numFmtId="0" fontId="1" fillId="3" borderId="13" xfId="0" applyFont="1" applyFill="1" applyBorder="1" applyAlignment="1">
      <alignment horizontal="center" vertical="center"/>
    </xf>
    <xf numFmtId="49" fontId="1" fillId="3" borderId="10" xfId="0" applyNumberFormat="1" applyFont="1" applyFill="1" applyBorder="1" applyAlignment="1">
      <alignment horizontal="center" vertical="center"/>
    </xf>
    <xf numFmtId="49" fontId="1" fillId="2" borderId="13" xfId="0" applyNumberFormat="1" applyFont="1" applyFill="1" applyBorder="1" applyAlignment="1">
      <alignment horizontal="center" vertical="center"/>
    </xf>
    <xf numFmtId="49" fontId="1" fillId="2" borderId="10" xfId="0" applyNumberFormat="1" applyFont="1" applyFill="1" applyBorder="1" applyAlignment="1">
      <alignment horizontal="center" vertical="center"/>
    </xf>
    <xf numFmtId="49" fontId="1" fillId="3" borderId="13" xfId="0" applyNumberFormat="1" applyFont="1" applyFill="1" applyBorder="1" applyAlignment="1">
      <alignment horizontal="center" vertical="center"/>
    </xf>
    <xf numFmtId="0" fontId="1" fillId="3" borderId="0" xfId="0" applyFont="1" applyFill="1" applyAlignment="1">
      <alignment horizontal="center" vertical="center"/>
    </xf>
    <xf numFmtId="0" fontId="1" fillId="3" borderId="0" xfId="0" applyFont="1" applyFill="1" applyAlignment="1">
      <alignment vertical="center"/>
    </xf>
    <xf numFmtId="0" fontId="1" fillId="2" borderId="0" xfId="0" applyFont="1" applyFill="1" applyAlignment="1">
      <alignment vertical="center"/>
    </xf>
    <xf numFmtId="0" fontId="2" fillId="3" borderId="0" xfId="0" applyFont="1" applyFill="1" applyAlignment="1">
      <alignment horizontal="center" vertical="center"/>
    </xf>
    <xf numFmtId="49" fontId="1" fillId="3" borderId="0" xfId="0" applyNumberFormat="1" applyFont="1" applyFill="1" applyAlignment="1">
      <alignment horizontal="center" vertical="center"/>
    </xf>
    <xf numFmtId="14" fontId="1" fillId="3" borderId="0" xfId="0" applyNumberFormat="1" applyFont="1" applyFill="1" applyAlignment="1">
      <alignment horizontal="center" vertical="center"/>
    </xf>
    <xf numFmtId="0" fontId="2" fillId="2" borderId="0" xfId="0" applyFont="1" applyFill="1" applyAlignment="1">
      <alignment horizontal="center" vertical="center"/>
    </xf>
    <xf numFmtId="49" fontId="2" fillId="2" borderId="0" xfId="0" applyNumberFormat="1" applyFont="1" applyFill="1" applyAlignment="1">
      <alignment horizontal="center" vertical="center"/>
    </xf>
    <xf numFmtId="14" fontId="1"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2" fillId="3" borderId="0" xfId="0" applyNumberFormat="1" applyFont="1" applyFill="1" applyAlignment="1">
      <alignment horizontal="center" vertical="center"/>
    </xf>
    <xf numFmtId="0" fontId="1" fillId="2" borderId="0" xfId="0" applyFont="1" applyFill="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xf>
    <xf numFmtId="0" fontId="1" fillId="2" borderId="0" xfId="0" quotePrefix="1" applyFont="1" applyFill="1" applyAlignment="1">
      <alignment horizontal="center"/>
    </xf>
    <xf numFmtId="0" fontId="1" fillId="2" borderId="1" xfId="0" applyFont="1" applyFill="1" applyBorder="1"/>
    <xf numFmtId="0" fontId="1" fillId="2" borderId="16" xfId="0" applyFont="1" applyFill="1" applyBorder="1"/>
    <xf numFmtId="0" fontId="1" fillId="2" borderId="17" xfId="0" applyFont="1" applyFill="1" applyBorder="1"/>
    <xf numFmtId="14" fontId="1" fillId="2" borderId="15" xfId="0" applyNumberFormat="1" applyFont="1" applyFill="1" applyBorder="1" applyAlignment="1">
      <alignment horizontal="center"/>
    </xf>
    <xf numFmtId="14" fontId="1" fillId="2" borderId="6" xfId="0" applyNumberFormat="1" applyFont="1" applyFill="1" applyBorder="1" applyAlignment="1">
      <alignment horizontal="center"/>
    </xf>
    <xf numFmtId="0" fontId="2" fillId="2" borderId="3" xfId="0" applyFont="1" applyFill="1" applyBorder="1" applyAlignment="1">
      <alignment horizontal="center" vertical="center"/>
    </xf>
    <xf numFmtId="0" fontId="2" fillId="2" borderId="15" xfId="0" applyFont="1" applyFill="1" applyBorder="1" applyAlignment="1">
      <alignment horizontal="center" vertical="center"/>
    </xf>
    <xf numFmtId="0" fontId="1" fillId="3" borderId="0" xfId="0" quotePrefix="1" applyFont="1" applyFill="1" applyAlignment="1">
      <alignment horizontal="center"/>
    </xf>
    <xf numFmtId="0" fontId="1" fillId="3" borderId="16" xfId="0" applyFont="1" applyFill="1" applyBorder="1"/>
    <xf numFmtId="0" fontId="1" fillId="3" borderId="17" xfId="0" applyFont="1" applyFill="1" applyBorder="1"/>
    <xf numFmtId="14" fontId="1" fillId="3" borderId="15" xfId="0" applyNumberFormat="1" applyFont="1" applyFill="1" applyBorder="1" applyAlignment="1">
      <alignment horizontal="center"/>
    </xf>
    <xf numFmtId="0" fontId="2" fillId="3" borderId="0" xfId="0" applyFont="1" applyFill="1" applyAlignment="1">
      <alignment horizontal="center"/>
    </xf>
    <xf numFmtId="0" fontId="1" fillId="0" borderId="0" xfId="0" applyFont="1"/>
    <xf numFmtId="0" fontId="3" fillId="3" borderId="9" xfId="0" applyFont="1" applyFill="1" applyBorder="1" applyAlignment="1">
      <alignment wrapText="1"/>
    </xf>
    <xf numFmtId="0" fontId="4" fillId="3" borderId="9" xfId="0" applyFont="1" applyFill="1" applyBorder="1" applyAlignment="1">
      <alignment horizontal="center"/>
    </xf>
    <xf numFmtId="0" fontId="1" fillId="3" borderId="9" xfId="0" applyFont="1" applyFill="1" applyBorder="1"/>
    <xf numFmtId="14" fontId="1" fillId="2" borderId="17" xfId="0" applyNumberFormat="1" applyFont="1" applyFill="1" applyBorder="1" applyAlignment="1">
      <alignment horizontal="center"/>
    </xf>
    <xf numFmtId="14" fontId="1" fillId="2" borderId="0" xfId="0" applyNumberFormat="1" applyFont="1" applyFill="1" applyAlignment="1">
      <alignment horizontal="center"/>
    </xf>
    <xf numFmtId="0" fontId="2" fillId="4" borderId="0" xfId="0" applyFont="1" applyFill="1"/>
    <xf numFmtId="0" fontId="1" fillId="4" borderId="0" xfId="0" quotePrefix="1" applyFont="1" applyFill="1"/>
    <xf numFmtId="49" fontId="1" fillId="4" borderId="0" xfId="0" applyNumberFormat="1" applyFont="1" applyFill="1"/>
    <xf numFmtId="0" fontId="1" fillId="4" borderId="0" xfId="0" applyFont="1" applyFill="1" applyAlignment="1">
      <alignment horizontal="center" vertical="center"/>
    </xf>
    <xf numFmtId="0" fontId="2" fillId="3" borderId="2" xfId="0" applyFont="1" applyFill="1" applyBorder="1" applyAlignment="1">
      <alignment horizontal="center" vertical="center"/>
    </xf>
    <xf numFmtId="0" fontId="2" fillId="4" borderId="0" xfId="0" applyFont="1" applyFill="1" applyAlignment="1">
      <alignment horizontal="center" vertical="center"/>
    </xf>
    <xf numFmtId="0" fontId="1" fillId="3" borderId="6" xfId="0" quotePrefix="1" applyFont="1" applyFill="1" applyBorder="1" applyAlignment="1">
      <alignment horizontal="center" vertical="center"/>
    </xf>
    <xf numFmtId="0" fontId="1" fillId="3" borderId="2" xfId="0" quotePrefix="1" applyFont="1" applyFill="1" applyBorder="1" applyAlignment="1">
      <alignment horizontal="center" vertical="center"/>
    </xf>
    <xf numFmtId="0" fontId="1" fillId="4" borderId="0" xfId="0" quotePrefix="1" applyFont="1" applyFill="1" applyAlignment="1">
      <alignment horizontal="center" vertical="center"/>
    </xf>
    <xf numFmtId="0" fontId="2" fillId="2" borderId="2" xfId="0" applyFont="1" applyFill="1" applyBorder="1" applyAlignment="1">
      <alignment horizontal="center" vertical="center"/>
    </xf>
    <xf numFmtId="0" fontId="1" fillId="2" borderId="6" xfId="0" quotePrefix="1" applyFont="1" applyFill="1" applyBorder="1" applyAlignment="1">
      <alignment horizontal="center" vertical="center"/>
    </xf>
    <xf numFmtId="0" fontId="1" fillId="2" borderId="2" xfId="0" quotePrefix="1" applyFont="1" applyFill="1" applyBorder="1" applyAlignment="1">
      <alignment horizontal="center" vertical="center"/>
    </xf>
    <xf numFmtId="0" fontId="1" fillId="4" borderId="0" xfId="0" applyFont="1" applyFill="1"/>
    <xf numFmtId="0" fontId="2" fillId="2" borderId="9" xfId="0" applyFont="1" applyFill="1" applyBorder="1"/>
    <xf numFmtId="0" fontId="1" fillId="2" borderId="0" xfId="0" applyFont="1" applyFill="1"/>
    <xf numFmtId="0" fontId="1" fillId="2" borderId="10" xfId="0" applyFont="1" applyFill="1" applyBorder="1" applyAlignment="1">
      <alignment horizontal="center"/>
    </xf>
    <xf numFmtId="0" fontId="2" fillId="3" borderId="15" xfId="0" applyFont="1" applyFill="1" applyBorder="1"/>
    <xf numFmtId="0" fontId="1" fillId="3" borderId="2" xfId="0" quotePrefix="1" applyFont="1" applyFill="1" applyBorder="1" applyAlignment="1">
      <alignment horizontal="center"/>
    </xf>
    <xf numFmtId="0" fontId="1" fillId="3" borderId="11" xfId="0" applyFont="1" applyFill="1" applyBorder="1" applyAlignment="1">
      <alignment horizontal="center"/>
    </xf>
    <xf numFmtId="0" fontId="1" fillId="4" borderId="0" xfId="0" applyFont="1" applyFill="1" applyAlignment="1">
      <alignment horizontal="center"/>
    </xf>
    <xf numFmtId="0" fontId="0" fillId="0" borderId="2" xfId="0" applyBorder="1"/>
    <xf numFmtId="0" fontId="0" fillId="0" borderId="26" xfId="0" applyBorder="1"/>
    <xf numFmtId="0" fontId="0" fillId="0" borderId="28" xfId="0" quotePrefix="1" applyBorder="1"/>
    <xf numFmtId="0" fontId="0" fillId="0" borderId="28" xfId="0" applyBorder="1"/>
    <xf numFmtId="0" fontId="1" fillId="2" borderId="9" xfId="0" applyFont="1" applyFill="1" applyBorder="1" applyAlignment="1">
      <alignment horizontal="left" vertical="center"/>
    </xf>
    <xf numFmtId="0" fontId="1" fillId="3" borderId="9" xfId="0" applyFont="1" applyFill="1" applyBorder="1" applyAlignment="1">
      <alignment horizontal="left" vertical="center"/>
    </xf>
    <xf numFmtId="0" fontId="2" fillId="2" borderId="13" xfId="0" applyFont="1" applyFill="1" applyBorder="1" applyAlignment="1">
      <alignment horizontal="center" vertical="center"/>
    </xf>
    <xf numFmtId="0" fontId="2" fillId="3" borderId="13" xfId="0" applyFont="1" applyFill="1" applyBorder="1" applyAlignment="1">
      <alignment horizontal="center" vertical="center"/>
    </xf>
    <xf numFmtId="49" fontId="1" fillId="3" borderId="5" xfId="0" applyNumberFormat="1" applyFont="1" applyFill="1" applyBorder="1" applyAlignment="1">
      <alignment horizontal="center" vertical="center"/>
    </xf>
    <xf numFmtId="0" fontId="2" fillId="3" borderId="5" xfId="0" applyFont="1" applyFill="1" applyBorder="1" applyAlignment="1">
      <alignment horizontal="center" vertical="center"/>
    </xf>
    <xf numFmtId="0" fontId="2" fillId="3" borderId="7" xfId="0" quotePrefix="1" applyFont="1" applyFill="1" applyBorder="1" applyAlignment="1">
      <alignment horizontal="center" vertical="center"/>
    </xf>
    <xf numFmtId="0" fontId="0" fillId="3" borderId="0" xfId="0" applyFill="1"/>
    <xf numFmtId="0" fontId="5" fillId="3" borderId="0" xfId="0" applyFont="1" applyFill="1"/>
    <xf numFmtId="0" fontId="1" fillId="0" borderId="9" xfId="0" applyFont="1" applyBorder="1"/>
    <xf numFmtId="0" fontId="1" fillId="2" borderId="28" xfId="0" applyFont="1" applyFill="1" applyBorder="1" applyAlignment="1">
      <alignment horizontal="left"/>
    </xf>
    <xf numFmtId="0" fontId="1" fillId="0" borderId="29" xfId="0" applyFont="1" applyBorder="1" applyAlignment="1">
      <alignment horizontal="left"/>
    </xf>
    <xf numFmtId="0" fontId="6" fillId="0" borderId="29" xfId="0" applyFont="1" applyBorder="1" applyAlignment="1">
      <alignment horizontal="left"/>
    </xf>
    <xf numFmtId="0" fontId="1" fillId="0" borderId="28" xfId="0" applyFont="1" applyBorder="1" applyAlignment="1">
      <alignment horizontal="left"/>
    </xf>
    <xf numFmtId="0" fontId="1" fillId="2" borderId="28" xfId="0" applyFont="1" applyFill="1" applyBorder="1"/>
    <xf numFmtId="0" fontId="0" fillId="2" borderId="27" xfId="0" applyFill="1" applyBorder="1" applyAlignment="1">
      <alignment horizontal="left"/>
    </xf>
    <xf numFmtId="0" fontId="1" fillId="0" borderId="30" xfId="0" applyFont="1" applyBorder="1" applyAlignment="1">
      <alignment horizontal="left"/>
    </xf>
    <xf numFmtId="0" fontId="1" fillId="0" borderId="8" xfId="0" applyFont="1" applyBorder="1" applyAlignment="1">
      <alignment horizontal="left"/>
    </xf>
    <xf numFmtId="0" fontId="0" fillId="0" borderId="9" xfId="0" applyBorder="1"/>
    <xf numFmtId="0" fontId="1" fillId="2" borderId="29" xfId="0" applyFont="1" applyFill="1" applyBorder="1" applyAlignment="1">
      <alignment horizontal="left"/>
    </xf>
    <xf numFmtId="0" fontId="1" fillId="5" borderId="9" xfId="0" quotePrefix="1" applyFont="1" applyFill="1" applyBorder="1" applyAlignment="1">
      <alignment horizontal="center" vertical="center"/>
    </xf>
    <xf numFmtId="0" fontId="1" fillId="2" borderId="9" xfId="0" applyFont="1" applyFill="1" applyBorder="1"/>
    <xf numFmtId="0" fontId="1" fillId="2" borderId="29" xfId="0" applyFont="1" applyFill="1" applyBorder="1" applyAlignment="1">
      <alignment horizontal="left" vertical="top"/>
    </xf>
    <xf numFmtId="0" fontId="6" fillId="2" borderId="28" xfId="0" applyFont="1" applyFill="1" applyBorder="1" applyAlignment="1">
      <alignment horizontal="left"/>
    </xf>
    <xf numFmtId="0" fontId="1" fillId="2" borderId="15" xfId="0" applyFont="1" applyFill="1" applyBorder="1" applyAlignment="1">
      <alignment horizontal="center"/>
    </xf>
    <xf numFmtId="0" fontId="0" fillId="3" borderId="0" xfId="0" applyFill="1" applyAlignment="1">
      <alignment horizontal="center"/>
    </xf>
    <xf numFmtId="0" fontId="0" fillId="3" borderId="27" xfId="0" applyFill="1" applyBorder="1" applyAlignment="1">
      <alignment horizontal="center"/>
    </xf>
    <xf numFmtId="0" fontId="0" fillId="3" borderId="9" xfId="0" applyFill="1" applyBorder="1" applyAlignment="1">
      <alignment horizontal="center"/>
    </xf>
    <xf numFmtId="0" fontId="0" fillId="3" borderId="28" xfId="0" applyFill="1" applyBorder="1" applyAlignment="1">
      <alignment horizontal="center"/>
    </xf>
    <xf numFmtId="0" fontId="0" fillId="3" borderId="9" xfId="0" applyFill="1" applyBorder="1" applyAlignment="1">
      <alignment horizontal="center" vertical="center"/>
    </xf>
    <xf numFmtId="0" fontId="1" fillId="3" borderId="27" xfId="0" quotePrefix="1" applyFont="1" applyFill="1" applyBorder="1" applyAlignment="1">
      <alignment horizontal="center" vertical="center"/>
    </xf>
    <xf numFmtId="0" fontId="1" fillId="3" borderId="28" xfId="0" quotePrefix="1" applyFont="1" applyFill="1" applyBorder="1" applyAlignment="1">
      <alignment horizontal="center" vertical="center"/>
    </xf>
    <xf numFmtId="0" fontId="1" fillId="3" borderId="19" xfId="0" quotePrefix="1" applyFont="1" applyFill="1" applyBorder="1" applyAlignment="1">
      <alignment horizontal="center" vertical="center"/>
    </xf>
    <xf numFmtId="0" fontId="1" fillId="3" borderId="20" xfId="0" quotePrefix="1" applyFont="1" applyFill="1" applyBorder="1" applyAlignment="1">
      <alignment horizontal="center" vertical="center"/>
    </xf>
    <xf numFmtId="0" fontId="1" fillId="3" borderId="21" xfId="0" quotePrefix="1" applyFont="1" applyFill="1" applyBorder="1" applyAlignment="1">
      <alignment horizontal="center" vertical="center"/>
    </xf>
    <xf numFmtId="0" fontId="0" fillId="3" borderId="3" xfId="0" applyFill="1" applyBorder="1"/>
    <xf numFmtId="0" fontId="0" fillId="3" borderId="5" xfId="0" applyFill="1" applyBorder="1"/>
    <xf numFmtId="0" fontId="0" fillId="3" borderId="35" xfId="0" applyFill="1" applyBorder="1" applyAlignment="1">
      <alignment horizontal="center"/>
    </xf>
    <xf numFmtId="0" fontId="0" fillId="3" borderId="36" xfId="0" applyFill="1" applyBorder="1" applyAlignment="1">
      <alignment horizontal="center"/>
    </xf>
    <xf numFmtId="0" fontId="0" fillId="3" borderId="37"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1" xfId="0" applyFill="1" applyBorder="1" applyAlignment="1">
      <alignment horizontal="center"/>
    </xf>
    <xf numFmtId="0" fontId="1" fillId="0" borderId="9" xfId="0" quotePrefix="1" applyFont="1" applyBorder="1" applyAlignment="1">
      <alignment horizontal="center" vertical="center"/>
    </xf>
    <xf numFmtId="0" fontId="1" fillId="2" borderId="18" xfId="0" applyFont="1" applyFill="1" applyBorder="1" applyAlignment="1">
      <alignment horizontal="center"/>
    </xf>
    <xf numFmtId="0" fontId="1" fillId="2" borderId="13" xfId="0" applyFont="1" applyFill="1" applyBorder="1" applyAlignment="1">
      <alignment horizontal="center"/>
    </xf>
    <xf numFmtId="0" fontId="1" fillId="2" borderId="13" xfId="0" quotePrefix="1" applyFont="1" applyFill="1" applyBorder="1" applyAlignment="1">
      <alignment horizontal="center"/>
    </xf>
    <xf numFmtId="0" fontId="0" fillId="2" borderId="13" xfId="0" applyFill="1" applyBorder="1"/>
    <xf numFmtId="0" fontId="0" fillId="2" borderId="12" xfId="0" applyFill="1" applyBorder="1"/>
    <xf numFmtId="0" fontId="0" fillId="2" borderId="0" xfId="0" applyFill="1"/>
    <xf numFmtId="0" fontId="0" fillId="2" borderId="2" xfId="0" applyFill="1" applyBorder="1"/>
    <xf numFmtId="0" fontId="1" fillId="2" borderId="14" xfId="0" applyFont="1" applyFill="1" applyBorder="1" applyAlignment="1">
      <alignment horizontal="center"/>
    </xf>
    <xf numFmtId="0" fontId="1" fillId="2" borderId="10" xfId="0" quotePrefix="1" applyFont="1" applyFill="1" applyBorder="1" applyAlignment="1">
      <alignment horizontal="center"/>
    </xf>
    <xf numFmtId="0" fontId="0" fillId="2" borderId="10" xfId="0" applyFill="1" applyBorder="1"/>
    <xf numFmtId="0" fontId="0" fillId="2" borderId="11" xfId="0" applyFill="1" applyBorder="1"/>
    <xf numFmtId="0" fontId="2" fillId="6" borderId="9" xfId="0" applyFont="1" applyFill="1" applyBorder="1" applyAlignment="1">
      <alignment horizontal="center"/>
    </xf>
    <xf numFmtId="0" fontId="2" fillId="6" borderId="25" xfId="0" applyFont="1" applyFill="1" applyBorder="1" applyAlignment="1">
      <alignment horizontal="center"/>
    </xf>
    <xf numFmtId="0" fontId="1" fillId="5" borderId="9" xfId="0" quotePrefix="1" applyFont="1" applyFill="1" applyBorder="1" applyAlignment="1">
      <alignment horizontal="center"/>
    </xf>
    <xf numFmtId="0" fontId="1" fillId="5" borderId="9" xfId="0" applyFont="1" applyFill="1" applyBorder="1" applyAlignment="1">
      <alignment horizontal="center"/>
    </xf>
    <xf numFmtId="0" fontId="2" fillId="0" borderId="9" xfId="0" applyFont="1" applyBorder="1" applyAlignment="1">
      <alignment horizontal="center"/>
    </xf>
    <xf numFmtId="0" fontId="2" fillId="0" borderId="25" xfId="0" applyFont="1" applyBorder="1" applyAlignment="1">
      <alignment horizontal="center"/>
    </xf>
    <xf numFmtId="1" fontId="1" fillId="3" borderId="9" xfId="0" applyNumberFormat="1" applyFont="1" applyFill="1" applyBorder="1" applyAlignment="1">
      <alignment horizontal="center"/>
    </xf>
    <xf numFmtId="0" fontId="1" fillId="0" borderId="9" xfId="0" quotePrefix="1" applyFont="1" applyBorder="1" applyAlignment="1">
      <alignment horizontal="center"/>
    </xf>
    <xf numFmtId="0" fontId="2" fillId="3" borderId="38" xfId="0" applyFont="1" applyFill="1" applyBorder="1"/>
    <xf numFmtId="0" fontId="2" fillId="3" borderId="3" xfId="0" applyFont="1" applyFill="1" applyBorder="1"/>
    <xf numFmtId="0" fontId="1" fillId="3" borderId="38" xfId="0" applyFont="1" applyFill="1" applyBorder="1"/>
    <xf numFmtId="0" fontId="1" fillId="3" borderId="9" xfId="0" applyFont="1" applyFill="1" applyBorder="1" applyAlignment="1">
      <alignment wrapText="1"/>
    </xf>
    <xf numFmtId="0" fontId="7" fillId="0" borderId="0" xfId="0" applyFont="1" applyAlignment="1">
      <alignment wrapText="1"/>
    </xf>
    <xf numFmtId="0" fontId="1" fillId="0" borderId="9" xfId="0" applyFont="1" applyBorder="1" applyAlignment="1">
      <alignment horizontal="center" vertical="center"/>
    </xf>
    <xf numFmtId="49" fontId="1" fillId="3" borderId="9" xfId="0" applyNumberFormat="1" applyFont="1" applyFill="1" applyBorder="1"/>
    <xf numFmtId="49" fontId="2" fillId="3" borderId="6" xfId="0" applyNumberFormat="1" applyFont="1" applyFill="1" applyBorder="1"/>
    <xf numFmtId="49" fontId="2" fillId="3" borderId="9" xfId="0" applyNumberFormat="1" applyFont="1" applyFill="1" applyBorder="1"/>
    <xf numFmtId="49" fontId="1" fillId="0" borderId="39" xfId="0" applyNumberFormat="1" applyFont="1" applyBorder="1" applyAlignment="1">
      <alignment wrapText="1"/>
    </xf>
    <xf numFmtId="0" fontId="8" fillId="0" borderId="0" xfId="0" applyFont="1"/>
    <xf numFmtId="0" fontId="9" fillId="0" borderId="0" xfId="0" applyFont="1"/>
    <xf numFmtId="0" fontId="0" fillId="5" borderId="0" xfId="0" applyFill="1" applyAlignment="1">
      <alignment wrapText="1"/>
    </xf>
    <xf numFmtId="0" fontId="10" fillId="0" borderId="0" xfId="0" applyFont="1"/>
    <xf numFmtId="165" fontId="0" fillId="0" borderId="24" xfId="0" applyNumberFormat="1" applyBorder="1"/>
    <xf numFmtId="165" fontId="0" fillId="0" borderId="27" xfId="0" applyNumberFormat="1" applyBorder="1"/>
    <xf numFmtId="165" fontId="0" fillId="0" borderId="0" xfId="0" applyNumberFormat="1"/>
    <xf numFmtId="0" fontId="0" fillId="3" borderId="0" xfId="0" applyFill="1" applyAlignment="1">
      <alignment wrapText="1"/>
    </xf>
    <xf numFmtId="0" fontId="0" fillId="0" borderId="0" xfId="0" applyAlignment="1">
      <alignment wrapText="1"/>
    </xf>
    <xf numFmtId="0" fontId="1" fillId="3" borderId="9" xfId="0" applyFont="1" applyFill="1" applyBorder="1" applyAlignment="1">
      <alignment horizontal="left"/>
    </xf>
    <xf numFmtId="0" fontId="0" fillId="0" borderId="9" xfId="0" quotePrefix="1" applyBorder="1"/>
    <xf numFmtId="0" fontId="0" fillId="0" borderId="6" xfId="0" applyBorder="1"/>
    <xf numFmtId="0" fontId="0" fillId="2" borderId="6" xfId="0" applyFill="1" applyBorder="1"/>
    <xf numFmtId="0" fontId="2" fillId="7" borderId="9" xfId="0" applyFont="1" applyFill="1" applyBorder="1" applyAlignment="1">
      <alignment horizontal="center" vertical="center"/>
    </xf>
    <xf numFmtId="16" fontId="0" fillId="7" borderId="9" xfId="0" quotePrefix="1" applyNumberFormat="1" applyFill="1" applyBorder="1" applyAlignment="1">
      <alignment horizontal="center"/>
    </xf>
    <xf numFmtId="16" fontId="1" fillId="7" borderId="9" xfId="0" quotePrefix="1" applyNumberFormat="1" applyFont="1" applyFill="1" applyBorder="1" applyAlignment="1">
      <alignment horizontal="center" wrapText="1"/>
    </xf>
    <xf numFmtId="49" fontId="1" fillId="7" borderId="9" xfId="0" quotePrefix="1" applyNumberFormat="1" applyFont="1" applyFill="1" applyBorder="1" applyAlignment="1">
      <alignment horizontal="center" wrapText="1"/>
    </xf>
    <xf numFmtId="49" fontId="0" fillId="7" borderId="9" xfId="0" quotePrefix="1" applyNumberFormat="1" applyFill="1" applyBorder="1" applyAlignment="1">
      <alignment horizontal="center" wrapText="1"/>
    </xf>
    <xf numFmtId="0" fontId="1" fillId="7" borderId="9" xfId="0" quotePrefix="1" applyFont="1" applyFill="1" applyBorder="1" applyAlignment="1">
      <alignment horizontal="center" vertical="center" wrapText="1"/>
    </xf>
    <xf numFmtId="0" fontId="1" fillId="7" borderId="9" xfId="0" quotePrefix="1" applyFont="1" applyFill="1" applyBorder="1" applyAlignment="1">
      <alignment horizontal="center" vertical="center"/>
    </xf>
    <xf numFmtId="0" fontId="1" fillId="3" borderId="9" xfId="0" applyFont="1" applyFill="1" applyBorder="1" applyAlignment="1">
      <alignment horizontal="center" wrapText="1"/>
    </xf>
    <xf numFmtId="0" fontId="1" fillId="2" borderId="40" xfId="0" applyFont="1" applyFill="1" applyBorder="1" applyAlignment="1">
      <alignment horizontal="center" vertical="center"/>
    </xf>
    <xf numFmtId="0" fontId="1" fillId="2" borderId="41" xfId="0" applyFont="1" applyFill="1" applyBorder="1" applyAlignment="1">
      <alignment vertical="center"/>
    </xf>
    <xf numFmtId="0" fontId="1" fillId="2" borderId="41"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2" fillId="2" borderId="9"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xf>
    <xf numFmtId="0" fontId="1" fillId="0" borderId="9" xfId="0" applyFont="1" applyBorder="1" applyAlignment="1">
      <alignment horizontal="center"/>
    </xf>
    <xf numFmtId="0" fontId="1" fillId="0" borderId="6" xfId="0" applyFont="1" applyBorder="1" applyAlignment="1">
      <alignment horizontal="center"/>
    </xf>
    <xf numFmtId="0" fontId="1" fillId="3" borderId="9" xfId="0" quotePrefix="1" applyFont="1" applyFill="1" applyBorder="1" applyAlignment="1">
      <alignment horizontal="center" vertical="center"/>
    </xf>
    <xf numFmtId="0" fontId="1" fillId="2" borderId="9" xfId="0" quotePrefix="1" applyFont="1" applyFill="1" applyBorder="1" applyAlignment="1">
      <alignment horizontal="center" vertical="center"/>
    </xf>
    <xf numFmtId="0" fontId="1" fillId="3" borderId="9" xfId="0" applyFont="1" applyFill="1" applyBorder="1" applyAlignment="1">
      <alignment horizontal="center"/>
    </xf>
    <xf numFmtId="0" fontId="1" fillId="2" borderId="9" xfId="0" applyFont="1" applyFill="1" applyBorder="1" applyAlignment="1">
      <alignment horizontal="center"/>
    </xf>
    <xf numFmtId="0" fontId="1" fillId="2" borderId="46" xfId="0" applyFont="1" applyFill="1" applyBorder="1" applyAlignment="1">
      <alignment horizontal="center"/>
    </xf>
    <xf numFmtId="0" fontId="1" fillId="3" borderId="46" xfId="0" applyFont="1" applyFill="1" applyBorder="1" applyAlignment="1">
      <alignment horizontal="center" vertical="center"/>
    </xf>
    <xf numFmtId="0" fontId="1" fillId="2" borderId="46" xfId="0" applyFont="1" applyFill="1" applyBorder="1" applyAlignment="1">
      <alignment horizontal="center" vertical="center"/>
    </xf>
    <xf numFmtId="0" fontId="1" fillId="3" borderId="9" xfId="0" applyFont="1" applyFill="1" applyBorder="1" applyAlignment="1">
      <alignment horizontal="center" vertical="center"/>
    </xf>
    <xf numFmtId="0" fontId="1" fillId="2" borderId="9" xfId="0" applyFont="1" applyFill="1" applyBorder="1" applyAlignment="1">
      <alignment horizontal="center" vertical="center"/>
    </xf>
    <xf numFmtId="0" fontId="0" fillId="3" borderId="6" xfId="0" applyFill="1" applyBorder="1" applyAlignment="1">
      <alignment horizontal="center"/>
    </xf>
    <xf numFmtId="0" fontId="0" fillId="0" borderId="25" xfId="0" applyBorder="1"/>
    <xf numFmtId="0" fontId="0" fillId="3" borderId="6" xfId="0" applyFill="1" applyBorder="1" applyAlignment="1">
      <alignment horizontal="center" vertical="center"/>
    </xf>
    <xf numFmtId="0" fontId="2" fillId="3" borderId="46" xfId="0" applyFont="1" applyFill="1" applyBorder="1" applyAlignment="1">
      <alignment horizontal="center"/>
    </xf>
    <xf numFmtId="0" fontId="1" fillId="8" borderId="0" xfId="0" applyFont="1" applyFill="1"/>
    <xf numFmtId="0" fontId="1" fillId="8" borderId="0" xfId="0" applyFont="1" applyFill="1" applyAlignment="1">
      <alignment horizontal="center"/>
    </xf>
    <xf numFmtId="0" fontId="1" fillId="8" borderId="0" xfId="0" quotePrefix="1" applyFont="1" applyFill="1" applyAlignment="1">
      <alignment horizontal="center"/>
    </xf>
    <xf numFmtId="14" fontId="1" fillId="8" borderId="17" xfId="0" applyNumberFormat="1" applyFont="1" applyFill="1" applyBorder="1" applyAlignment="1">
      <alignment horizontal="center"/>
    </xf>
    <xf numFmtId="0" fontId="1" fillId="8" borderId="0" xfId="0" applyFont="1" applyFill="1" applyBorder="1"/>
    <xf numFmtId="0" fontId="2" fillId="8" borderId="46" xfId="0" applyFont="1" applyFill="1" applyBorder="1" applyAlignment="1">
      <alignment horizontal="center" vertical="center"/>
    </xf>
    <xf numFmtId="14" fontId="1" fillId="8" borderId="46" xfId="0" applyNumberFormat="1" applyFont="1" applyFill="1" applyBorder="1" applyAlignment="1">
      <alignment horizontal="center"/>
    </xf>
    <xf numFmtId="0" fontId="1" fillId="3" borderId="46" xfId="0" quotePrefix="1" applyFont="1" applyFill="1" applyBorder="1" applyAlignment="1">
      <alignment horizontal="center"/>
    </xf>
    <xf numFmtId="0" fontId="0" fillId="3" borderId="46" xfId="0" quotePrefix="1" applyFill="1" applyBorder="1" applyAlignment="1">
      <alignment horizontal="center" vertical="center"/>
    </xf>
    <xf numFmtId="0" fontId="2" fillId="8" borderId="46" xfId="0" applyFont="1" applyFill="1" applyBorder="1" applyAlignment="1">
      <alignment horizontal="center"/>
    </xf>
    <xf numFmtId="0" fontId="0" fillId="8" borderId="46" xfId="0" applyFill="1" applyBorder="1" applyAlignment="1">
      <alignment horizontal="center" vertical="center"/>
    </xf>
    <xf numFmtId="0" fontId="0" fillId="8" borderId="46" xfId="0" quotePrefix="1" applyFill="1" applyBorder="1" applyAlignment="1">
      <alignment horizontal="center" vertical="center"/>
    </xf>
    <xf numFmtId="0" fontId="5" fillId="8" borderId="46" xfId="0" applyFont="1" applyFill="1" applyBorder="1" applyAlignment="1">
      <alignment horizontal="center" vertical="center"/>
    </xf>
    <xf numFmtId="0" fontId="5" fillId="3" borderId="46" xfId="0" applyFont="1" applyFill="1" applyBorder="1" applyAlignment="1">
      <alignment horizontal="center" vertical="center"/>
    </xf>
    <xf numFmtId="0" fontId="1" fillId="3" borderId="0" xfId="0" applyFont="1" applyFill="1" applyBorder="1"/>
    <xf numFmtId="0" fontId="1" fillId="3" borderId="0" xfId="0" applyFont="1" applyFill="1" applyBorder="1" applyAlignment="1">
      <alignment horizontal="center"/>
    </xf>
    <xf numFmtId="0" fontId="1" fillId="3" borderId="46" xfId="0" applyFont="1" applyFill="1" applyBorder="1" applyAlignment="1">
      <alignment horizontal="center"/>
    </xf>
    <xf numFmtId="0" fontId="1" fillId="8" borderId="46" xfId="0" applyFont="1" applyFill="1" applyBorder="1" applyAlignment="1">
      <alignment horizontal="center"/>
    </xf>
    <xf numFmtId="0" fontId="0" fillId="3" borderId="46" xfId="0" applyFill="1" applyBorder="1" applyAlignment="1">
      <alignment horizontal="center" vertical="center"/>
    </xf>
    <xf numFmtId="0" fontId="1" fillId="3" borderId="9" xfId="0" applyFont="1" applyFill="1" applyBorder="1" applyAlignment="1">
      <alignment horizontal="center"/>
    </xf>
    <xf numFmtId="0" fontId="1" fillId="3" borderId="46" xfId="0" applyFont="1" applyFill="1" applyBorder="1" applyAlignment="1">
      <alignment horizontal="center" vertical="center"/>
    </xf>
    <xf numFmtId="0" fontId="1" fillId="3" borderId="46" xfId="0" applyFont="1" applyFill="1" applyBorder="1" applyAlignment="1">
      <alignment horizontal="center"/>
    </xf>
    <xf numFmtId="0" fontId="1" fillId="8" borderId="46" xfId="0" applyFont="1" applyFill="1" applyBorder="1" applyAlignment="1">
      <alignment horizontal="center"/>
    </xf>
    <xf numFmtId="0" fontId="0" fillId="3" borderId="46" xfId="0" applyFill="1" applyBorder="1" applyAlignment="1">
      <alignment horizontal="center" vertical="center"/>
    </xf>
    <xf numFmtId="0" fontId="1" fillId="3" borderId="46" xfId="0" applyFont="1" applyFill="1" applyBorder="1"/>
    <xf numFmtId="0" fontId="2" fillId="3" borderId="46" xfId="0" applyFont="1" applyFill="1" applyBorder="1" applyAlignment="1">
      <alignment horizontal="center" vertical="center"/>
    </xf>
    <xf numFmtId="14" fontId="1" fillId="3" borderId="46" xfId="0" applyNumberFormat="1" applyFont="1" applyFill="1" applyBorder="1" applyAlignment="1">
      <alignment horizontal="center"/>
    </xf>
    <xf numFmtId="0" fontId="1" fillId="3" borderId="1" xfId="0" applyFont="1" applyFill="1" applyBorder="1"/>
    <xf numFmtId="0" fontId="1" fillId="3" borderId="0" xfId="0" quotePrefix="1" applyFont="1" applyFill="1" applyBorder="1" applyAlignment="1">
      <alignment horizontal="center"/>
    </xf>
    <xf numFmtId="0" fontId="1" fillId="3" borderId="3" xfId="0" applyFont="1" applyFill="1" applyBorder="1"/>
    <xf numFmtId="0" fontId="1" fillId="3" borderId="49" xfId="0" applyFont="1" applyFill="1" applyBorder="1"/>
    <xf numFmtId="0" fontId="5" fillId="8" borderId="0" xfId="0" applyFont="1" applyFill="1" applyBorder="1" applyAlignment="1">
      <alignment horizontal="center" vertical="center"/>
    </xf>
    <xf numFmtId="0" fontId="0" fillId="8" borderId="0" xfId="0" quotePrefix="1" applyFill="1" applyBorder="1" applyAlignment="1">
      <alignment horizontal="center" vertical="center"/>
    </xf>
    <xf numFmtId="0" fontId="5" fillId="3" borderId="0" xfId="0" applyFont="1" applyFill="1" applyBorder="1" applyAlignment="1">
      <alignment horizontal="center" vertical="center"/>
    </xf>
    <xf numFmtId="0" fontId="0" fillId="3" borderId="0" xfId="0" quotePrefix="1" applyFill="1" applyBorder="1" applyAlignment="1">
      <alignment horizontal="center" vertical="center"/>
    </xf>
    <xf numFmtId="1" fontId="1" fillId="3" borderId="46" xfId="0" applyNumberFormat="1" applyFont="1" applyFill="1" applyBorder="1" applyAlignment="1">
      <alignment horizontal="center" vertical="center"/>
    </xf>
    <xf numFmtId="0" fontId="1" fillId="5" borderId="46" xfId="0" quotePrefix="1" applyFont="1" applyFill="1" applyBorder="1" applyAlignment="1">
      <alignment horizontal="center"/>
    </xf>
    <xf numFmtId="0" fontId="1" fillId="3" borderId="0" xfId="0" applyFont="1" applyFill="1" applyBorder="1" applyAlignment="1">
      <alignment vertical="center"/>
    </xf>
    <xf numFmtId="0" fontId="1" fillId="4" borderId="0" xfId="0" applyFont="1" applyFill="1" applyBorder="1"/>
    <xf numFmtId="0" fontId="1" fillId="4" borderId="0" xfId="0" applyFont="1" applyFill="1" applyBorder="1" applyAlignment="1">
      <alignment horizontal="center" vertical="center"/>
    </xf>
    <xf numFmtId="0" fontId="1" fillId="4" borderId="0" xfId="0" applyFont="1" applyFill="1" applyBorder="1" applyAlignment="1">
      <alignment vertical="center"/>
    </xf>
    <xf numFmtId="0" fontId="1" fillId="4" borderId="0" xfId="0" applyFont="1" applyFill="1" applyBorder="1" applyAlignment="1">
      <alignment horizontal="center"/>
    </xf>
    <xf numFmtId="0" fontId="1" fillId="9" borderId="0" xfId="0" applyFont="1" applyFill="1" applyBorder="1"/>
    <xf numFmtId="0" fontId="1" fillId="9" borderId="0" xfId="0" applyFont="1" applyFill="1"/>
    <xf numFmtId="0" fontId="1" fillId="9" borderId="0" xfId="0" applyFont="1" applyFill="1" applyBorder="1" applyAlignment="1">
      <alignment horizontal="center" vertical="center"/>
    </xf>
    <xf numFmtId="0" fontId="1" fillId="9" borderId="0" xfId="0" applyFont="1" applyFill="1" applyAlignment="1">
      <alignment horizontal="center" vertical="center"/>
    </xf>
    <xf numFmtId="0" fontId="1" fillId="9" borderId="0" xfId="0" applyFont="1" applyFill="1" applyBorder="1" applyAlignment="1">
      <alignment horizontal="center"/>
    </xf>
    <xf numFmtId="0" fontId="1" fillId="8" borderId="0" xfId="0" applyFont="1" applyFill="1" applyBorder="1" applyAlignment="1"/>
    <xf numFmtId="0" fontId="1" fillId="8" borderId="46" xfId="0" applyFont="1" applyFill="1" applyBorder="1"/>
    <xf numFmtId="0" fontId="1" fillId="8"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43" xfId="0" applyFont="1" applyFill="1" applyBorder="1" applyAlignment="1">
      <alignment horizontal="center"/>
    </xf>
    <xf numFmtId="0" fontId="0" fillId="0" borderId="5" xfId="0" applyBorder="1"/>
    <xf numFmtId="0" fontId="0" fillId="0" borderId="4" xfId="0" applyBorder="1"/>
    <xf numFmtId="0" fontId="1" fillId="3" borderId="9" xfId="0" applyFont="1" applyFill="1" applyBorder="1" applyAlignment="1">
      <alignment horizontal="center"/>
    </xf>
    <xf numFmtId="0" fontId="0" fillId="0" borderId="44" xfId="0" applyBorder="1"/>
    <xf numFmtId="0" fontId="0" fillId="0" borderId="45" xfId="0" applyBorder="1"/>
    <xf numFmtId="0" fontId="1" fillId="2" borderId="9" xfId="0" applyFont="1" applyFill="1" applyBorder="1" applyAlignment="1">
      <alignment horizontal="center"/>
    </xf>
    <xf numFmtId="0" fontId="1" fillId="2" borderId="46" xfId="0" applyFont="1" applyFill="1" applyBorder="1" applyAlignment="1">
      <alignment horizontal="center"/>
    </xf>
    <xf numFmtId="0" fontId="0" fillId="0" borderId="7" xfId="0" applyBorder="1"/>
    <xf numFmtId="0" fontId="0" fillId="0" borderId="8" xfId="0" applyBorder="1"/>
    <xf numFmtId="0" fontId="1" fillId="3" borderId="46" xfId="0" applyFont="1" applyFill="1" applyBorder="1" applyAlignment="1">
      <alignment horizontal="center" vertical="center"/>
    </xf>
    <xf numFmtId="0" fontId="1" fillId="2" borderId="46" xfId="0" applyFont="1" applyFill="1" applyBorder="1" applyAlignment="1">
      <alignment horizontal="center" vertical="center"/>
    </xf>
    <xf numFmtId="0" fontId="1" fillId="3" borderId="46" xfId="0" applyFont="1" applyFill="1" applyBorder="1" applyAlignment="1">
      <alignment horizontal="center"/>
    </xf>
    <xf numFmtId="0" fontId="1" fillId="2" borderId="6" xfId="0" applyFont="1" applyFill="1" applyBorder="1" applyAlignment="1">
      <alignment horizontal="center"/>
    </xf>
    <xf numFmtId="0" fontId="1" fillId="3" borderId="9" xfId="0" applyFont="1" applyFill="1" applyBorder="1" applyAlignment="1">
      <alignment horizontal="center" vertical="center"/>
    </xf>
    <xf numFmtId="0" fontId="1" fillId="2" borderId="9" xfId="0" applyFont="1" applyFill="1" applyBorder="1" applyAlignment="1">
      <alignment horizontal="center" vertical="center"/>
    </xf>
    <xf numFmtId="0" fontId="1" fillId="3" borderId="3" xfId="0" applyFont="1" applyFill="1" applyBorder="1" applyAlignment="1">
      <alignment horizontal="center"/>
    </xf>
    <xf numFmtId="0" fontId="1" fillId="2" borderId="43" xfId="0" applyFont="1" applyFill="1" applyBorder="1" applyAlignment="1">
      <alignment horizontal="center"/>
    </xf>
    <xf numFmtId="0" fontId="1" fillId="8" borderId="46" xfId="0" applyFont="1" applyFill="1" applyBorder="1" applyAlignment="1">
      <alignment horizontal="center"/>
    </xf>
    <xf numFmtId="0" fontId="1" fillId="8" borderId="47" xfId="0" applyFont="1" applyFill="1" applyBorder="1" applyAlignment="1">
      <alignment horizontal="center" vertical="center"/>
    </xf>
    <xf numFmtId="0" fontId="1" fillId="8"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49" xfId="0" applyFont="1" applyFill="1" applyBorder="1" applyAlignment="1">
      <alignment horizontal="center" vertical="center"/>
    </xf>
    <xf numFmtId="0" fontId="1" fillId="3" borderId="43" xfId="0" applyFont="1" applyFill="1" applyBorder="1" applyAlignment="1">
      <alignment horizontal="center" vertical="center"/>
    </xf>
    <xf numFmtId="0" fontId="0" fillId="3" borderId="48" xfId="0" applyFill="1" applyBorder="1" applyAlignment="1">
      <alignment horizontal="center"/>
    </xf>
    <xf numFmtId="0" fontId="0" fillId="0" borderId="31" xfId="0" applyBorder="1"/>
    <xf numFmtId="0" fontId="0" fillId="0" borderId="32" xfId="0" applyBorder="1"/>
    <xf numFmtId="0" fontId="0" fillId="3" borderId="39" xfId="0" applyFill="1" applyBorder="1" applyAlignment="1">
      <alignment horizontal="center"/>
    </xf>
    <xf numFmtId="0" fontId="0" fillId="0" borderId="33" xfId="0" applyBorder="1"/>
    <xf numFmtId="0" fontId="0" fillId="0" borderId="34" xfId="0" applyBorder="1"/>
    <xf numFmtId="0" fontId="0" fillId="3" borderId="6" xfId="0" applyFill="1" applyBorder="1" applyAlignment="1">
      <alignment horizontal="center"/>
    </xf>
    <xf numFmtId="0" fontId="0" fillId="3" borderId="9" xfId="0" applyFill="1" applyBorder="1" applyAlignment="1">
      <alignment horizontal="center" vertical="center" wrapText="1"/>
    </xf>
    <xf numFmtId="0" fontId="0" fillId="0" borderId="25" xfId="0" applyBorder="1"/>
    <xf numFmtId="0" fontId="0" fillId="0" borderId="15" xfId="0" applyBorder="1"/>
    <xf numFmtId="0" fontId="0" fillId="3" borderId="46" xfId="0" applyFill="1" applyBorder="1" applyAlignment="1">
      <alignment horizontal="center" vertical="center"/>
    </xf>
    <xf numFmtId="0" fontId="0" fillId="0" borderId="47" xfId="0" applyBorder="1"/>
    <xf numFmtId="0" fontId="0" fillId="0" borderId="16" xfId="0" applyBorder="1"/>
    <xf numFmtId="0" fontId="0" fillId="0" borderId="3" xfId="0" applyBorder="1"/>
    <xf numFmtId="0" fontId="0" fillId="3" borderId="6" xfId="0" applyFill="1" applyBorder="1" applyAlignment="1">
      <alignment horizontal="center" vertical="center"/>
    </xf>
    <xf numFmtId="0" fontId="1" fillId="3" borderId="15" xfId="0" applyFont="1" applyFill="1" applyBorder="1" applyAlignment="1">
      <alignment horizontal="center"/>
    </xf>
    <xf numFmtId="0" fontId="0" fillId="0" borderId="49" xfId="0" applyBorder="1"/>
    <xf numFmtId="0" fontId="0" fillId="0" borderId="50" xfId="0" applyBorder="1"/>
    <xf numFmtId="0" fontId="0" fillId="0" borderId="22" xfId="0" applyBorder="1" applyAlignment="1">
      <alignment horizontal="center"/>
    </xf>
    <xf numFmtId="0" fontId="0" fillId="0" borderId="23" xfId="0" applyBorder="1"/>
    <xf numFmtId="0" fontId="1" fillId="3" borderId="18" xfId="0" applyFont="1" applyFill="1" applyBorder="1" applyAlignment="1">
      <alignment horizontal="center"/>
    </xf>
    <xf numFmtId="0" fontId="0" fillId="0" borderId="13" xfId="0" applyBorder="1"/>
    <xf numFmtId="0" fontId="1" fillId="5" borderId="46" xfId="0" applyFont="1" applyFill="1" applyBorder="1" applyAlignment="1">
      <alignment horizontal="center"/>
    </xf>
    <xf numFmtId="0" fontId="1" fillId="8" borderId="10" xfId="0" applyFont="1" applyFill="1" applyBorder="1"/>
    <xf numFmtId="0" fontId="1" fillId="8" borderId="10" xfId="0" applyFont="1" applyFill="1" applyBorder="1" applyAlignment="1">
      <alignment horizontal="center"/>
    </xf>
    <xf numFmtId="0" fontId="1" fillId="3" borderId="1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222250</xdr:colOff>
          <xdr:row>0</xdr:row>
          <xdr:rowOff>114300</xdr:rowOff>
        </xdr:from>
        <xdr:to>
          <xdr:col>24</xdr:col>
          <xdr:colOff>889000</xdr:colOff>
          <xdr:row>4</xdr:row>
          <xdr:rowOff>152400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Enable Digitizers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1155700</xdr:colOff>
          <xdr:row>0</xdr:row>
          <xdr:rowOff>114300</xdr:rowOff>
        </xdr:from>
        <xdr:to>
          <xdr:col>26</xdr:col>
          <xdr:colOff>88900</xdr:colOff>
          <xdr:row>4</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2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Disable Digitizers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914400</xdr:colOff>
          <xdr:row>7</xdr:row>
          <xdr:rowOff>50800</xdr:rowOff>
        </xdr:from>
        <xdr:to>
          <xdr:col>22</xdr:col>
          <xdr:colOff>666750</xdr:colOff>
          <xdr:row>10</xdr:row>
          <xdr:rowOff>222250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Disable Keysights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914400</xdr:colOff>
          <xdr:row>11</xdr:row>
          <xdr:rowOff>184150</xdr:rowOff>
        </xdr:from>
        <xdr:to>
          <xdr:col>22</xdr:col>
          <xdr:colOff>666750</xdr:colOff>
          <xdr:row>15</xdr:row>
          <xdr:rowOff>222250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Disable Lambdas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914400</xdr:colOff>
          <xdr:row>17</xdr:row>
          <xdr:rowOff>50800</xdr:rowOff>
        </xdr:from>
        <xdr:to>
          <xdr:col>22</xdr:col>
          <xdr:colOff>666750</xdr:colOff>
          <xdr:row>21</xdr:row>
          <xdr:rowOff>50800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Disable NIs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850900</xdr:colOff>
          <xdr:row>7</xdr:row>
          <xdr:rowOff>50800</xdr:rowOff>
        </xdr:from>
        <xdr:to>
          <xdr:col>21</xdr:col>
          <xdr:colOff>647700</xdr:colOff>
          <xdr:row>10</xdr:row>
          <xdr:rowOff>222250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Enable Keysights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850900</xdr:colOff>
          <xdr:row>11</xdr:row>
          <xdr:rowOff>184150</xdr:rowOff>
        </xdr:from>
        <xdr:to>
          <xdr:col>21</xdr:col>
          <xdr:colOff>647700</xdr:colOff>
          <xdr:row>15</xdr:row>
          <xdr:rowOff>222250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Enable Lambdas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850900</xdr:colOff>
          <xdr:row>17</xdr:row>
          <xdr:rowOff>50800</xdr:rowOff>
        </xdr:from>
        <xdr:to>
          <xdr:col>21</xdr:col>
          <xdr:colOff>647700</xdr:colOff>
          <xdr:row>21</xdr:row>
          <xdr:rowOff>50800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Enable NIs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914400</xdr:colOff>
          <xdr:row>1</xdr:row>
          <xdr:rowOff>114300</xdr:rowOff>
        </xdr:from>
        <xdr:to>
          <xdr:col>22</xdr:col>
          <xdr:colOff>666750</xdr:colOff>
          <xdr:row>5</xdr:row>
          <xdr:rowOff>184150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Disable All DC Power Supplies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850900</xdr:colOff>
          <xdr:row>1</xdr:row>
          <xdr:rowOff>114300</xdr:rowOff>
        </xdr:from>
        <xdr:to>
          <xdr:col>21</xdr:col>
          <xdr:colOff>647700</xdr:colOff>
          <xdr:row>5</xdr:row>
          <xdr:rowOff>184150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Enable All DC Power Supplies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B5"/>
  <sheetViews>
    <sheetView workbookViewId="0">
      <selection activeCell="B5" sqref="B5"/>
    </sheetView>
  </sheetViews>
  <sheetFormatPr defaultRowHeight="14.5" x14ac:dyDescent="0.35"/>
  <cols>
    <col min="1" max="1" width="18.453125" customWidth="1"/>
    <col min="2" max="2" width="46.54296875" customWidth="1"/>
  </cols>
  <sheetData>
    <row r="1" spans="1:2" x14ac:dyDescent="0.35">
      <c r="A1" t="s">
        <v>0</v>
      </c>
      <c r="B1" s="32">
        <v>693</v>
      </c>
    </row>
    <row r="2" spans="1:2" x14ac:dyDescent="0.35">
      <c r="A2" t="s">
        <v>1</v>
      </c>
      <c r="B2" s="32" t="s">
        <v>973</v>
      </c>
    </row>
    <row r="3" spans="1:2" x14ac:dyDescent="0.35">
      <c r="A3" t="s">
        <v>2</v>
      </c>
      <c r="B3" s="33">
        <v>45530.285868055558</v>
      </c>
    </row>
    <row r="4" spans="1:2" ht="29.15" customHeight="1" x14ac:dyDescent="0.35">
      <c r="A4" s="34" t="s">
        <v>3</v>
      </c>
      <c r="B4" s="35" t="s">
        <v>4</v>
      </c>
    </row>
    <row r="5" spans="1:2" x14ac:dyDescent="0.35">
      <c r="A5" t="s">
        <v>5</v>
      </c>
      <c r="B5" t="s">
        <v>6</v>
      </c>
    </row>
  </sheetData>
  <pageMargins left="0.7" right="0.7" top="0.75" bottom="0.75" header="0.3" footer="0.3"/>
  <pageSetup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T82"/>
  <sheetViews>
    <sheetView zoomScale="115" zoomScaleNormal="115" workbookViewId="0">
      <selection activeCell="N3" sqref="N3"/>
    </sheetView>
  </sheetViews>
  <sheetFormatPr defaultColWidth="8.7265625" defaultRowHeight="14.5" x14ac:dyDescent="0.35"/>
  <cols>
    <col min="1" max="1" width="7.26953125" style="25" bestFit="1" customWidth="1"/>
    <col min="2" max="2" width="19.54296875" style="25" bestFit="1" customWidth="1"/>
    <col min="3" max="3" width="12" style="25" bestFit="1" customWidth="1"/>
    <col min="4" max="4" width="12.7265625" style="25" bestFit="1" customWidth="1"/>
    <col min="5" max="5" width="13.81640625" style="25" bestFit="1" customWidth="1"/>
    <col min="6" max="6" width="18.81640625" style="25" bestFit="1" customWidth="1"/>
    <col min="7" max="7" width="11.26953125" style="25" bestFit="1" customWidth="1"/>
    <col min="8" max="8" width="6" style="25" bestFit="1" customWidth="1"/>
    <col min="9" max="9" width="12.26953125" style="25" bestFit="1" customWidth="1"/>
    <col min="10" max="10" width="18" style="25" bestFit="1" customWidth="1"/>
    <col min="11" max="11" width="21.453125" style="25" bestFit="1" customWidth="1"/>
    <col min="12" max="12" width="18" style="25" bestFit="1" customWidth="1"/>
    <col min="13" max="13" width="20.81640625" style="25" bestFit="1" customWidth="1"/>
    <col min="14" max="15" width="27.1796875" style="25" bestFit="1" customWidth="1"/>
    <col min="16" max="16" width="26.54296875" style="25" customWidth="1"/>
    <col min="17" max="17" width="19.54296875" style="25" customWidth="1"/>
    <col min="18" max="18" width="9.54296875" style="25" customWidth="1"/>
    <col min="19" max="19" width="21.1796875" style="25" bestFit="1" customWidth="1"/>
    <col min="20" max="20" width="12.26953125" style="25" bestFit="1" customWidth="1"/>
    <col min="21" max="21" width="7.54296875" style="25" bestFit="1" customWidth="1"/>
    <col min="22" max="28" width="8.7265625" style="25" customWidth="1"/>
    <col min="29" max="16384" width="8.7265625" style="25"/>
  </cols>
  <sheetData>
    <row r="1" spans="1:20" x14ac:dyDescent="0.35">
      <c r="A1" s="302" t="s">
        <v>7</v>
      </c>
      <c r="B1" s="303"/>
      <c r="C1" s="303"/>
      <c r="D1" s="303"/>
      <c r="E1" s="303"/>
      <c r="F1" s="303"/>
      <c r="G1" s="303"/>
      <c r="H1" s="303"/>
      <c r="I1" s="303"/>
      <c r="J1" s="303"/>
      <c r="K1" s="303"/>
      <c r="L1" s="303"/>
      <c r="M1" s="303"/>
      <c r="N1" s="303"/>
      <c r="O1" s="304"/>
      <c r="P1" s="126"/>
      <c r="S1" s="25" t="s">
        <v>8</v>
      </c>
      <c r="T1" s="25" t="s">
        <v>9</v>
      </c>
    </row>
    <row r="2" spans="1:20" x14ac:dyDescent="0.35">
      <c r="A2" s="59" t="s">
        <v>10</v>
      </c>
      <c r="B2" s="59" t="s">
        <v>11</v>
      </c>
      <c r="C2" s="59" t="s">
        <v>12</v>
      </c>
      <c r="D2" s="59" t="s">
        <v>13</v>
      </c>
      <c r="E2" s="59" t="s">
        <v>14</v>
      </c>
      <c r="F2" s="59" t="s">
        <v>15</v>
      </c>
      <c r="G2" s="59" t="s">
        <v>16</v>
      </c>
      <c r="H2" s="59" t="s">
        <v>17</v>
      </c>
      <c r="I2" s="59" t="s">
        <v>18</v>
      </c>
      <c r="J2" s="59" t="s">
        <v>19</v>
      </c>
      <c r="K2" s="59" t="s">
        <v>20</v>
      </c>
      <c r="L2" s="59" t="s">
        <v>21</v>
      </c>
      <c r="M2" s="1" t="s">
        <v>22</v>
      </c>
      <c r="N2" s="1" t="s">
        <v>23</v>
      </c>
      <c r="O2" s="1" t="s">
        <v>24</v>
      </c>
      <c r="P2" s="26"/>
      <c r="Q2" s="18"/>
      <c r="R2" s="18"/>
      <c r="S2" s="18" t="s">
        <v>25</v>
      </c>
      <c r="T2" s="18" t="s">
        <v>25</v>
      </c>
    </row>
    <row r="3" spans="1:20" x14ac:dyDescent="0.35">
      <c r="A3" s="240" t="s">
        <v>26</v>
      </c>
      <c r="B3" s="240" t="s">
        <v>27</v>
      </c>
      <c r="C3" s="240">
        <v>0</v>
      </c>
      <c r="D3" s="240" t="s">
        <v>28</v>
      </c>
      <c r="E3" s="240" t="s">
        <v>28</v>
      </c>
      <c r="F3" s="240"/>
      <c r="G3" s="2" t="s">
        <v>29</v>
      </c>
      <c r="H3" s="240"/>
      <c r="I3" s="240" t="s">
        <v>30</v>
      </c>
      <c r="J3" s="240"/>
      <c r="K3" s="10">
        <v>36892</v>
      </c>
      <c r="L3" s="10" t="s">
        <v>31</v>
      </c>
      <c r="M3" s="19">
        <v>100000000</v>
      </c>
      <c r="N3" s="2">
        <v>256</v>
      </c>
      <c r="O3" s="2">
        <v>512</v>
      </c>
      <c r="P3" s="27"/>
      <c r="S3" s="25" t="s">
        <v>32</v>
      </c>
      <c r="T3" s="25" t="s">
        <v>33</v>
      </c>
    </row>
    <row r="4" spans="1:20" x14ac:dyDescent="0.35">
      <c r="A4" s="12"/>
      <c r="B4" s="12"/>
      <c r="C4" s="12"/>
      <c r="D4" s="12"/>
      <c r="E4" s="12"/>
      <c r="F4" s="12"/>
      <c r="G4" s="12"/>
      <c r="H4" s="12"/>
      <c r="I4" s="12"/>
      <c r="J4" s="12"/>
      <c r="K4" s="12"/>
      <c r="L4" s="12"/>
      <c r="M4" s="138"/>
      <c r="N4" s="138"/>
      <c r="O4" s="14"/>
      <c r="S4" s="25" t="s">
        <v>34</v>
      </c>
      <c r="T4" s="25" t="s">
        <v>35</v>
      </c>
    </row>
    <row r="5" spans="1:20" x14ac:dyDescent="0.35">
      <c r="A5" s="305" t="s">
        <v>36</v>
      </c>
      <c r="B5" s="306"/>
      <c r="C5" s="306"/>
      <c r="D5" s="306"/>
      <c r="E5" s="306"/>
      <c r="F5" s="306"/>
      <c r="G5" s="306"/>
      <c r="H5" s="306"/>
      <c r="I5" s="306"/>
      <c r="J5" s="306"/>
      <c r="K5" s="307"/>
      <c r="L5" s="12"/>
      <c r="M5" s="12"/>
      <c r="N5" s="138"/>
      <c r="O5" s="14"/>
      <c r="S5" s="25" t="s">
        <v>31</v>
      </c>
      <c r="T5" s="25" t="s">
        <v>37</v>
      </c>
    </row>
    <row r="6" spans="1:20" x14ac:dyDescent="0.35">
      <c r="A6" s="1" t="s">
        <v>13</v>
      </c>
      <c r="B6" s="1" t="s">
        <v>14</v>
      </c>
      <c r="C6" s="1" t="s">
        <v>15</v>
      </c>
      <c r="D6" s="1" t="s">
        <v>16</v>
      </c>
      <c r="E6" s="1" t="s">
        <v>10</v>
      </c>
      <c r="F6" s="1" t="s">
        <v>8</v>
      </c>
      <c r="G6" s="1" t="s">
        <v>9</v>
      </c>
      <c r="H6" s="1" t="s">
        <v>38</v>
      </c>
      <c r="I6" s="1" t="s">
        <v>39</v>
      </c>
      <c r="J6" s="1" t="s">
        <v>21</v>
      </c>
      <c r="K6" s="1" t="s">
        <v>40</v>
      </c>
      <c r="L6" s="138"/>
      <c r="M6" s="138"/>
      <c r="N6" s="138"/>
      <c r="O6" s="14"/>
      <c r="S6" s="25" t="s">
        <v>41</v>
      </c>
      <c r="T6" s="25" t="s">
        <v>42</v>
      </c>
    </row>
    <row r="7" spans="1:20" x14ac:dyDescent="0.35">
      <c r="A7" s="240">
        <v>1</v>
      </c>
      <c r="B7" s="240" t="s">
        <v>43</v>
      </c>
      <c r="C7" s="240"/>
      <c r="D7" s="2" t="s">
        <v>29</v>
      </c>
      <c r="E7" s="2" t="s">
        <v>44</v>
      </c>
      <c r="F7" s="2" t="s">
        <v>32</v>
      </c>
      <c r="G7" s="2" t="s">
        <v>33</v>
      </c>
      <c r="H7" s="2" t="s">
        <v>25</v>
      </c>
      <c r="I7" s="2" t="s">
        <v>45</v>
      </c>
      <c r="J7" s="2" t="s">
        <v>25</v>
      </c>
      <c r="K7" s="2" t="s">
        <v>25</v>
      </c>
      <c r="L7" s="138"/>
      <c r="M7" s="138"/>
      <c r="N7" s="138"/>
      <c r="O7" s="14"/>
      <c r="S7" s="25" t="s">
        <v>37</v>
      </c>
      <c r="T7" s="25" t="s">
        <v>46</v>
      </c>
    </row>
    <row r="8" spans="1:20" x14ac:dyDescent="0.35">
      <c r="A8" s="240">
        <v>2</v>
      </c>
      <c r="B8" s="240" t="s">
        <v>47</v>
      </c>
      <c r="C8" s="240"/>
      <c r="D8" s="2" t="s">
        <v>29</v>
      </c>
      <c r="E8" s="2" t="s">
        <v>44</v>
      </c>
      <c r="F8" s="2" t="s">
        <v>31</v>
      </c>
      <c r="G8" s="2" t="s">
        <v>35</v>
      </c>
      <c r="H8" s="2" t="s">
        <v>25</v>
      </c>
      <c r="I8" s="2" t="s">
        <v>45</v>
      </c>
      <c r="J8" s="2" t="s">
        <v>25</v>
      </c>
      <c r="K8" s="2" t="s">
        <v>25</v>
      </c>
      <c r="L8" s="138"/>
      <c r="M8" s="138"/>
      <c r="N8" s="138"/>
      <c r="O8" s="14"/>
      <c r="S8" s="25" t="s">
        <v>42</v>
      </c>
      <c r="T8" s="25" t="s">
        <v>48</v>
      </c>
    </row>
    <row r="9" spans="1:20" x14ac:dyDescent="0.35">
      <c r="A9" s="240">
        <v>3</v>
      </c>
      <c r="B9" s="240" t="s">
        <v>49</v>
      </c>
      <c r="C9" s="240"/>
      <c r="D9" s="2" t="s">
        <v>29</v>
      </c>
      <c r="E9" s="2" t="s">
        <v>50</v>
      </c>
      <c r="F9" s="2" t="s">
        <v>51</v>
      </c>
      <c r="G9" s="2" t="s">
        <v>37</v>
      </c>
      <c r="H9" s="2" t="s">
        <v>25</v>
      </c>
      <c r="I9" s="2" t="s">
        <v>45</v>
      </c>
      <c r="J9" s="2" t="s">
        <v>52</v>
      </c>
      <c r="K9" s="2" t="s">
        <v>25</v>
      </c>
      <c r="L9" s="138"/>
      <c r="M9" s="138"/>
      <c r="N9" s="138"/>
      <c r="O9" s="14"/>
      <c r="S9" s="25" t="s">
        <v>46</v>
      </c>
      <c r="T9" s="25" t="s">
        <v>53</v>
      </c>
    </row>
    <row r="10" spans="1:20" ht="26.15" customHeight="1" x14ac:dyDescent="0.35">
      <c r="A10" s="240">
        <v>4</v>
      </c>
      <c r="B10" s="240" t="s">
        <v>54</v>
      </c>
      <c r="C10" s="224" t="s">
        <v>55</v>
      </c>
      <c r="D10" s="2" t="s">
        <v>29</v>
      </c>
      <c r="E10" s="2" t="s">
        <v>50</v>
      </c>
      <c r="F10" s="2" t="s">
        <v>51</v>
      </c>
      <c r="G10" s="2" t="s">
        <v>42</v>
      </c>
      <c r="H10" s="2" t="s">
        <v>38</v>
      </c>
      <c r="I10" s="2" t="s">
        <v>45</v>
      </c>
      <c r="J10" s="2" t="s">
        <v>52</v>
      </c>
      <c r="K10" s="2" t="s">
        <v>25</v>
      </c>
      <c r="L10" s="138"/>
      <c r="M10" s="138"/>
      <c r="N10" s="138"/>
      <c r="O10" s="14"/>
      <c r="S10" s="25" t="s">
        <v>48</v>
      </c>
      <c r="T10" s="25" t="s">
        <v>56</v>
      </c>
    </row>
    <row r="11" spans="1:20" x14ac:dyDescent="0.35">
      <c r="A11" s="240">
        <v>5</v>
      </c>
      <c r="B11" s="240" t="s">
        <v>57</v>
      </c>
      <c r="C11" s="240"/>
      <c r="D11" s="2" t="s">
        <v>29</v>
      </c>
      <c r="E11" s="2" t="s">
        <v>50</v>
      </c>
      <c r="F11" s="2" t="s">
        <v>51</v>
      </c>
      <c r="G11" s="2" t="s">
        <v>46</v>
      </c>
      <c r="H11" s="2" t="s">
        <v>25</v>
      </c>
      <c r="I11" s="2" t="s">
        <v>45</v>
      </c>
      <c r="J11" s="2" t="s">
        <v>52</v>
      </c>
      <c r="K11" s="2" t="s">
        <v>25</v>
      </c>
      <c r="L11" s="138"/>
      <c r="M11" s="138"/>
      <c r="N11" s="138"/>
      <c r="O11" s="14"/>
      <c r="S11" s="25" t="s">
        <v>53</v>
      </c>
      <c r="T11" s="25" t="s">
        <v>58</v>
      </c>
    </row>
    <row r="12" spans="1:20" x14ac:dyDescent="0.35">
      <c r="A12" s="240">
        <v>6</v>
      </c>
      <c r="B12" s="240" t="s">
        <v>59</v>
      </c>
      <c r="C12" s="240"/>
      <c r="D12" s="2" t="s">
        <v>29</v>
      </c>
      <c r="E12" s="2" t="s">
        <v>50</v>
      </c>
      <c r="F12" s="2" t="s">
        <v>51</v>
      </c>
      <c r="G12" s="2" t="s">
        <v>48</v>
      </c>
      <c r="H12" s="2" t="s">
        <v>25</v>
      </c>
      <c r="I12" s="2" t="s">
        <v>45</v>
      </c>
      <c r="J12" s="2" t="s">
        <v>52</v>
      </c>
      <c r="K12" s="2" t="s">
        <v>25</v>
      </c>
      <c r="L12" s="138"/>
      <c r="M12" s="138"/>
      <c r="N12" s="138"/>
      <c r="O12" s="14"/>
      <c r="S12" s="25" t="s">
        <v>56</v>
      </c>
      <c r="T12" s="25" t="s">
        <v>60</v>
      </c>
    </row>
    <row r="13" spans="1:20" x14ac:dyDescent="0.35">
      <c r="A13" s="240">
        <v>7</v>
      </c>
      <c r="B13" s="240" t="s">
        <v>61</v>
      </c>
      <c r="C13" s="240"/>
      <c r="D13" s="2" t="s">
        <v>29</v>
      </c>
      <c r="E13" s="2" t="s">
        <v>50</v>
      </c>
      <c r="F13" s="2" t="s">
        <v>51</v>
      </c>
      <c r="G13" s="2" t="s">
        <v>53</v>
      </c>
      <c r="H13" s="2" t="s">
        <v>25</v>
      </c>
      <c r="I13" s="2" t="s">
        <v>45</v>
      </c>
      <c r="J13" s="2" t="s">
        <v>52</v>
      </c>
      <c r="K13" s="2" t="s">
        <v>25</v>
      </c>
      <c r="L13" s="138"/>
      <c r="M13" s="138"/>
      <c r="N13" s="138"/>
      <c r="O13" s="14"/>
      <c r="S13" s="25" t="s">
        <v>58</v>
      </c>
      <c r="T13" s="25" t="s">
        <v>62</v>
      </c>
    </row>
    <row r="14" spans="1:20" x14ac:dyDescent="0.35">
      <c r="A14" s="240">
        <v>8</v>
      </c>
      <c r="B14" s="240" t="s">
        <v>63</v>
      </c>
      <c r="C14" s="240"/>
      <c r="D14" s="2" t="s">
        <v>29</v>
      </c>
      <c r="E14" s="2" t="s">
        <v>50</v>
      </c>
      <c r="F14" s="2" t="s">
        <v>51</v>
      </c>
      <c r="G14" s="2" t="s">
        <v>56</v>
      </c>
      <c r="H14" s="2" t="s">
        <v>25</v>
      </c>
      <c r="I14" s="2" t="s">
        <v>45</v>
      </c>
      <c r="J14" s="2" t="s">
        <v>52</v>
      </c>
      <c r="K14" s="2" t="s">
        <v>25</v>
      </c>
      <c r="L14" s="138"/>
      <c r="M14" s="138"/>
      <c r="N14" s="138"/>
      <c r="O14" s="14"/>
      <c r="S14" s="25" t="s">
        <v>60</v>
      </c>
      <c r="T14" s="25" t="s">
        <v>64</v>
      </c>
    </row>
    <row r="15" spans="1:20" x14ac:dyDescent="0.35">
      <c r="A15" s="240">
        <v>9</v>
      </c>
      <c r="B15" s="240" t="s">
        <v>65</v>
      </c>
      <c r="C15" s="240"/>
      <c r="D15" s="2" t="s">
        <v>29</v>
      </c>
      <c r="E15" s="2" t="s">
        <v>50</v>
      </c>
      <c r="F15" s="2" t="s">
        <v>51</v>
      </c>
      <c r="G15" s="2" t="s">
        <v>58</v>
      </c>
      <c r="H15" s="2" t="s">
        <v>25</v>
      </c>
      <c r="I15" s="2" t="s">
        <v>45</v>
      </c>
      <c r="J15" s="2" t="s">
        <v>52</v>
      </c>
      <c r="K15" s="2" t="s">
        <v>25</v>
      </c>
      <c r="L15" s="138"/>
      <c r="M15" s="138"/>
      <c r="N15" s="138"/>
      <c r="O15" s="14"/>
      <c r="S15" s="25" t="s">
        <v>62</v>
      </c>
      <c r="T15" s="25" t="s">
        <v>66</v>
      </c>
    </row>
    <row r="16" spans="1:20" x14ac:dyDescent="0.35">
      <c r="A16" s="240">
        <v>10</v>
      </c>
      <c r="B16" s="240" t="s">
        <v>67</v>
      </c>
      <c r="C16" s="240" t="s">
        <v>68</v>
      </c>
      <c r="D16" s="2" t="s">
        <v>29</v>
      </c>
      <c r="E16" s="2" t="s">
        <v>50</v>
      </c>
      <c r="F16" s="2" t="s">
        <v>51</v>
      </c>
      <c r="G16" s="2" t="s">
        <v>69</v>
      </c>
      <c r="H16" s="2" t="s">
        <v>25</v>
      </c>
      <c r="I16" s="2" t="s">
        <v>45</v>
      </c>
      <c r="J16" s="2" t="s">
        <v>52</v>
      </c>
      <c r="K16" s="2" t="s">
        <v>25</v>
      </c>
      <c r="L16" s="138"/>
      <c r="M16" s="138"/>
      <c r="N16" s="138"/>
      <c r="O16" s="14"/>
      <c r="S16" s="25" t="s">
        <v>64</v>
      </c>
      <c r="T16" s="25" t="s">
        <v>70</v>
      </c>
    </row>
    <row r="17" spans="1:20" x14ac:dyDescent="0.35">
      <c r="A17" s="240">
        <v>11</v>
      </c>
      <c r="B17" s="240" t="s">
        <v>71</v>
      </c>
      <c r="C17" s="240" t="s">
        <v>72</v>
      </c>
      <c r="D17" s="2" t="s">
        <v>29</v>
      </c>
      <c r="E17" s="2" t="s">
        <v>50</v>
      </c>
      <c r="F17" s="2" t="s">
        <v>51</v>
      </c>
      <c r="G17" s="2" t="s">
        <v>73</v>
      </c>
      <c r="H17" s="2" t="s">
        <v>25</v>
      </c>
      <c r="I17" s="2" t="s">
        <v>45</v>
      </c>
      <c r="J17" s="2" t="s">
        <v>52</v>
      </c>
      <c r="K17" s="2" t="s">
        <v>25</v>
      </c>
      <c r="L17" s="138"/>
      <c r="M17" s="138"/>
      <c r="N17" s="138"/>
      <c r="O17" s="14"/>
      <c r="S17" s="25" t="s">
        <v>66</v>
      </c>
      <c r="T17" s="25" t="s">
        <v>74</v>
      </c>
    </row>
    <row r="18" spans="1:20" x14ac:dyDescent="0.35">
      <c r="A18" s="240">
        <v>12</v>
      </c>
      <c r="B18" s="240" t="s">
        <v>75</v>
      </c>
      <c r="C18" s="240" t="s">
        <v>76</v>
      </c>
      <c r="D18" s="2" t="s">
        <v>29</v>
      </c>
      <c r="E18" s="2" t="s">
        <v>50</v>
      </c>
      <c r="F18" s="2" t="s">
        <v>51</v>
      </c>
      <c r="G18" s="2" t="s">
        <v>77</v>
      </c>
      <c r="H18" s="2" t="s">
        <v>25</v>
      </c>
      <c r="I18" s="2" t="s">
        <v>45</v>
      </c>
      <c r="J18" s="2" t="s">
        <v>52</v>
      </c>
      <c r="K18" s="2" t="s">
        <v>25</v>
      </c>
      <c r="L18" s="138"/>
      <c r="M18" s="138"/>
      <c r="N18" s="138"/>
      <c r="O18" s="14"/>
      <c r="S18" s="25" t="s">
        <v>70</v>
      </c>
      <c r="T18" s="25" t="s">
        <v>78</v>
      </c>
    </row>
    <row r="19" spans="1:20" x14ac:dyDescent="0.35">
      <c r="A19" s="240">
        <v>13</v>
      </c>
      <c r="B19" s="240" t="s">
        <v>79</v>
      </c>
      <c r="C19" s="240" t="s">
        <v>80</v>
      </c>
      <c r="D19" s="2" t="s">
        <v>29</v>
      </c>
      <c r="E19" s="2" t="s">
        <v>50</v>
      </c>
      <c r="F19" s="2" t="s">
        <v>51</v>
      </c>
      <c r="G19" s="2" t="s">
        <v>81</v>
      </c>
      <c r="H19" s="2" t="s">
        <v>25</v>
      </c>
      <c r="I19" s="2" t="s">
        <v>45</v>
      </c>
      <c r="J19" s="2" t="s">
        <v>52</v>
      </c>
      <c r="K19" s="2" t="s">
        <v>25</v>
      </c>
      <c r="L19" s="138"/>
      <c r="M19" s="138"/>
      <c r="N19" s="138"/>
      <c r="O19" s="14"/>
      <c r="S19" s="25" t="s">
        <v>74</v>
      </c>
      <c r="T19" s="25" t="s">
        <v>69</v>
      </c>
    </row>
    <row r="20" spans="1:20" x14ac:dyDescent="0.35">
      <c r="A20" s="240">
        <v>14</v>
      </c>
      <c r="B20" s="240" t="s">
        <v>82</v>
      </c>
      <c r="C20" s="240" t="s">
        <v>83</v>
      </c>
      <c r="D20" s="2" t="s">
        <v>29</v>
      </c>
      <c r="E20" s="2" t="s">
        <v>50</v>
      </c>
      <c r="F20" s="2" t="s">
        <v>51</v>
      </c>
      <c r="G20" s="2" t="s">
        <v>84</v>
      </c>
      <c r="H20" s="2" t="s">
        <v>25</v>
      </c>
      <c r="I20" s="2" t="s">
        <v>45</v>
      </c>
      <c r="J20" s="2" t="s">
        <v>52</v>
      </c>
      <c r="K20" s="2" t="s">
        <v>25</v>
      </c>
      <c r="L20" s="138"/>
      <c r="M20" s="138"/>
      <c r="N20" s="138"/>
      <c r="O20" s="14"/>
      <c r="S20" s="25" t="s">
        <v>78</v>
      </c>
      <c r="T20" s="25" t="s">
        <v>73</v>
      </c>
    </row>
    <row r="21" spans="1:20" x14ac:dyDescent="0.35">
      <c r="A21" s="240">
        <v>15</v>
      </c>
      <c r="B21" s="240" t="s">
        <v>85</v>
      </c>
      <c r="C21" s="240" t="s">
        <v>86</v>
      </c>
      <c r="D21" s="2" t="s">
        <v>29</v>
      </c>
      <c r="E21" s="2" t="s">
        <v>50</v>
      </c>
      <c r="F21" s="2" t="s">
        <v>51</v>
      </c>
      <c r="G21" s="2" t="s">
        <v>87</v>
      </c>
      <c r="H21" s="2" t="s">
        <v>25</v>
      </c>
      <c r="I21" s="2" t="s">
        <v>45</v>
      </c>
      <c r="J21" s="2" t="s">
        <v>52</v>
      </c>
      <c r="K21" s="2" t="s">
        <v>25</v>
      </c>
      <c r="L21" s="138"/>
      <c r="M21" s="138"/>
      <c r="N21" s="138"/>
      <c r="O21" s="14"/>
      <c r="S21" s="25" t="s">
        <v>69</v>
      </c>
      <c r="T21" s="25" t="s">
        <v>77</v>
      </c>
    </row>
    <row r="22" spans="1:20" x14ac:dyDescent="0.35">
      <c r="A22" s="240">
        <v>16</v>
      </c>
      <c r="B22" s="240" t="s">
        <v>88</v>
      </c>
      <c r="C22" s="240" t="s">
        <v>89</v>
      </c>
      <c r="D22" s="2" t="s">
        <v>29</v>
      </c>
      <c r="E22" s="2" t="s">
        <v>50</v>
      </c>
      <c r="F22" s="2" t="s">
        <v>51</v>
      </c>
      <c r="G22" s="2" t="s">
        <v>90</v>
      </c>
      <c r="H22" s="2" t="s">
        <v>25</v>
      </c>
      <c r="I22" s="2" t="s">
        <v>45</v>
      </c>
      <c r="J22" s="2" t="s">
        <v>52</v>
      </c>
      <c r="K22" s="2" t="s">
        <v>25</v>
      </c>
      <c r="L22" s="138"/>
      <c r="M22" s="138"/>
      <c r="N22" s="138"/>
      <c r="O22" s="14"/>
      <c r="S22" s="25" t="s">
        <v>73</v>
      </c>
      <c r="T22" s="25" t="s">
        <v>81</v>
      </c>
    </row>
    <row r="23" spans="1:20" ht="39" customHeight="1" x14ac:dyDescent="0.35">
      <c r="A23" s="240">
        <v>17</v>
      </c>
      <c r="B23" s="240" t="s">
        <v>91</v>
      </c>
      <c r="C23" s="224" t="s">
        <v>92</v>
      </c>
      <c r="D23" s="2" t="s">
        <v>29</v>
      </c>
      <c r="E23" s="2" t="s">
        <v>50</v>
      </c>
      <c r="F23" s="2" t="s">
        <v>51</v>
      </c>
      <c r="G23" s="2" t="s">
        <v>93</v>
      </c>
      <c r="H23" s="2" t="s">
        <v>38</v>
      </c>
      <c r="I23" s="2" t="s">
        <v>45</v>
      </c>
      <c r="J23" s="2" t="s">
        <v>52</v>
      </c>
      <c r="K23" s="2" t="s">
        <v>25</v>
      </c>
      <c r="L23" s="138"/>
      <c r="M23" s="138"/>
      <c r="N23" s="138"/>
      <c r="O23" s="14"/>
      <c r="S23" s="25" t="s">
        <v>77</v>
      </c>
      <c r="T23" s="25" t="s">
        <v>84</v>
      </c>
    </row>
    <row r="24" spans="1:20" x14ac:dyDescent="0.35">
      <c r="A24" s="240">
        <v>18</v>
      </c>
      <c r="B24" s="240" t="s">
        <v>94</v>
      </c>
      <c r="C24" s="240" t="s">
        <v>95</v>
      </c>
      <c r="D24" s="2" t="s">
        <v>29</v>
      </c>
      <c r="E24" s="2" t="s">
        <v>50</v>
      </c>
      <c r="F24" s="2" t="s">
        <v>51</v>
      </c>
      <c r="G24" s="2" t="s">
        <v>96</v>
      </c>
      <c r="H24" s="2" t="s">
        <v>25</v>
      </c>
      <c r="I24" s="2" t="s">
        <v>45</v>
      </c>
      <c r="J24" s="2" t="s">
        <v>52</v>
      </c>
      <c r="K24" s="2" t="s">
        <v>25</v>
      </c>
      <c r="L24" s="138"/>
      <c r="M24" s="138"/>
      <c r="N24" s="138"/>
      <c r="O24" s="14"/>
      <c r="S24" s="25" t="s">
        <v>81</v>
      </c>
      <c r="T24" s="25" t="s">
        <v>87</v>
      </c>
    </row>
    <row r="25" spans="1:20" x14ac:dyDescent="0.35">
      <c r="A25" s="240">
        <v>19</v>
      </c>
      <c r="B25" s="240" t="s">
        <v>97</v>
      </c>
      <c r="C25" s="240" t="s">
        <v>98</v>
      </c>
      <c r="D25" s="2" t="s">
        <v>29</v>
      </c>
      <c r="E25" s="2" t="s">
        <v>50</v>
      </c>
      <c r="F25" s="2" t="s">
        <v>51</v>
      </c>
      <c r="G25" s="2" t="s">
        <v>99</v>
      </c>
      <c r="H25" s="2" t="s">
        <v>25</v>
      </c>
      <c r="I25" s="2" t="s">
        <v>45</v>
      </c>
      <c r="J25" s="2" t="s">
        <v>52</v>
      </c>
      <c r="K25" s="2" t="s">
        <v>25</v>
      </c>
      <c r="L25" s="138"/>
      <c r="M25" s="138"/>
      <c r="N25" s="138"/>
      <c r="O25" s="14"/>
      <c r="S25" s="25" t="s">
        <v>84</v>
      </c>
      <c r="T25" s="25" t="s">
        <v>90</v>
      </c>
    </row>
    <row r="26" spans="1:20" x14ac:dyDescent="0.35">
      <c r="A26" s="240">
        <v>20</v>
      </c>
      <c r="B26" s="240" t="s">
        <v>100</v>
      </c>
      <c r="C26" s="240" t="s">
        <v>101</v>
      </c>
      <c r="D26" s="2" t="s">
        <v>29</v>
      </c>
      <c r="E26" s="2" t="s">
        <v>50</v>
      </c>
      <c r="F26" s="2" t="s">
        <v>51</v>
      </c>
      <c r="G26" s="2" t="s">
        <v>102</v>
      </c>
      <c r="H26" s="2" t="s">
        <v>25</v>
      </c>
      <c r="I26" s="2" t="s">
        <v>45</v>
      </c>
      <c r="J26" s="2" t="s">
        <v>52</v>
      </c>
      <c r="K26" s="2" t="s">
        <v>25</v>
      </c>
      <c r="L26" s="138"/>
      <c r="M26" s="138"/>
      <c r="N26" s="138"/>
      <c r="O26" s="14"/>
      <c r="S26" s="25" t="s">
        <v>87</v>
      </c>
      <c r="T26" s="25" t="s">
        <v>93</v>
      </c>
    </row>
    <row r="27" spans="1:20" x14ac:dyDescent="0.35">
      <c r="A27" s="240">
        <v>21</v>
      </c>
      <c r="B27" s="240" t="s">
        <v>103</v>
      </c>
      <c r="C27" s="240" t="s">
        <v>104</v>
      </c>
      <c r="D27" s="2" t="s">
        <v>29</v>
      </c>
      <c r="E27" s="2" t="s">
        <v>50</v>
      </c>
      <c r="F27" s="2" t="s">
        <v>51</v>
      </c>
      <c r="G27" s="2" t="s">
        <v>105</v>
      </c>
      <c r="H27" s="2" t="s">
        <v>25</v>
      </c>
      <c r="I27" s="2" t="s">
        <v>45</v>
      </c>
      <c r="J27" s="2" t="s">
        <v>52</v>
      </c>
      <c r="K27" s="2" t="s">
        <v>25</v>
      </c>
      <c r="L27" s="138"/>
      <c r="M27" s="138"/>
      <c r="N27" s="138"/>
      <c r="O27" s="14"/>
      <c r="S27" s="25" t="s">
        <v>90</v>
      </c>
      <c r="T27" s="25" t="s">
        <v>96</v>
      </c>
    </row>
    <row r="28" spans="1:20" x14ac:dyDescent="0.35">
      <c r="A28" s="240">
        <v>22</v>
      </c>
      <c r="B28" s="240" t="s">
        <v>106</v>
      </c>
      <c r="C28" s="240" t="s">
        <v>107</v>
      </c>
      <c r="D28" s="2" t="s">
        <v>29</v>
      </c>
      <c r="E28" s="2" t="s">
        <v>50</v>
      </c>
      <c r="F28" s="2" t="s">
        <v>51</v>
      </c>
      <c r="G28" s="2" t="s">
        <v>108</v>
      </c>
      <c r="H28" s="2" t="s">
        <v>25</v>
      </c>
      <c r="I28" s="2" t="s">
        <v>45</v>
      </c>
      <c r="J28" s="2" t="s">
        <v>52</v>
      </c>
      <c r="K28" s="2" t="s">
        <v>25</v>
      </c>
      <c r="L28" s="138"/>
      <c r="M28" s="138"/>
      <c r="N28" s="138"/>
      <c r="O28" s="14"/>
      <c r="S28" s="25" t="s">
        <v>93</v>
      </c>
      <c r="T28" s="25" t="s">
        <v>99</v>
      </c>
    </row>
    <row r="29" spans="1:20" x14ac:dyDescent="0.35">
      <c r="A29" s="240">
        <v>23</v>
      </c>
      <c r="B29" s="240" t="s">
        <v>109</v>
      </c>
      <c r="C29" s="240" t="s">
        <v>110</v>
      </c>
      <c r="D29" s="2" t="s">
        <v>29</v>
      </c>
      <c r="E29" s="2" t="s">
        <v>50</v>
      </c>
      <c r="F29" s="2" t="s">
        <v>51</v>
      </c>
      <c r="G29" s="2" t="s">
        <v>111</v>
      </c>
      <c r="H29" s="2" t="s">
        <v>25</v>
      </c>
      <c r="I29" s="2" t="s">
        <v>45</v>
      </c>
      <c r="J29" s="2" t="s">
        <v>52</v>
      </c>
      <c r="K29" s="2" t="s">
        <v>25</v>
      </c>
      <c r="L29" s="138"/>
      <c r="M29" s="138"/>
      <c r="N29" s="138"/>
      <c r="O29" s="14"/>
      <c r="S29" s="25" t="s">
        <v>96</v>
      </c>
      <c r="T29" s="25" t="s">
        <v>102</v>
      </c>
    </row>
    <row r="30" spans="1:20" x14ac:dyDescent="0.35">
      <c r="A30" s="240">
        <v>24</v>
      </c>
      <c r="B30" s="240" t="s">
        <v>112</v>
      </c>
      <c r="C30" s="240" t="s">
        <v>113</v>
      </c>
      <c r="D30" s="2" t="s">
        <v>29</v>
      </c>
      <c r="E30" s="2" t="s">
        <v>50</v>
      </c>
      <c r="F30" s="2" t="s">
        <v>51</v>
      </c>
      <c r="G30" s="2" t="s">
        <v>114</v>
      </c>
      <c r="H30" s="2" t="s">
        <v>25</v>
      </c>
      <c r="I30" s="2" t="s">
        <v>45</v>
      </c>
      <c r="J30" s="2" t="s">
        <v>52</v>
      </c>
      <c r="K30" s="2" t="s">
        <v>25</v>
      </c>
      <c r="L30" s="138"/>
      <c r="M30" s="138"/>
      <c r="N30" s="138"/>
      <c r="O30" s="14"/>
      <c r="S30" s="25" t="s">
        <v>99</v>
      </c>
      <c r="T30" s="25" t="s">
        <v>105</v>
      </c>
    </row>
    <row r="31" spans="1:20" x14ac:dyDescent="0.35">
      <c r="A31" s="240">
        <v>25</v>
      </c>
      <c r="B31" s="240" t="s">
        <v>115</v>
      </c>
      <c r="C31" s="240" t="s">
        <v>116</v>
      </c>
      <c r="D31" s="2" t="s">
        <v>29</v>
      </c>
      <c r="E31" s="2" t="s">
        <v>50</v>
      </c>
      <c r="F31" s="2" t="s">
        <v>51</v>
      </c>
      <c r="G31" s="2" t="s">
        <v>117</v>
      </c>
      <c r="H31" s="2" t="s">
        <v>25</v>
      </c>
      <c r="I31" s="2" t="s">
        <v>45</v>
      </c>
      <c r="J31" s="2" t="s">
        <v>52</v>
      </c>
      <c r="K31" s="2" t="s">
        <v>25</v>
      </c>
      <c r="L31" s="138"/>
      <c r="M31" s="138"/>
      <c r="N31" s="138"/>
      <c r="O31" s="14"/>
      <c r="S31" s="25" t="s">
        <v>102</v>
      </c>
      <c r="T31" s="25" t="s">
        <v>108</v>
      </c>
    </row>
    <row r="32" spans="1:20" x14ac:dyDescent="0.35">
      <c r="A32" s="240">
        <v>26</v>
      </c>
      <c r="B32" s="240" t="s">
        <v>118</v>
      </c>
      <c r="C32" s="240" t="s">
        <v>119</v>
      </c>
      <c r="D32" s="2" t="s">
        <v>29</v>
      </c>
      <c r="E32" s="2" t="s">
        <v>50</v>
      </c>
      <c r="F32" s="2" t="s">
        <v>51</v>
      </c>
      <c r="G32" s="2" t="s">
        <v>120</v>
      </c>
      <c r="H32" s="2" t="s">
        <v>25</v>
      </c>
      <c r="I32" s="2" t="s">
        <v>45</v>
      </c>
      <c r="J32" s="2" t="s">
        <v>52</v>
      </c>
      <c r="K32" s="2" t="s">
        <v>25</v>
      </c>
      <c r="L32" s="138"/>
      <c r="M32" s="138"/>
      <c r="N32" s="138"/>
      <c r="O32" s="14"/>
      <c r="S32" s="25" t="s">
        <v>105</v>
      </c>
      <c r="T32" s="25" t="s">
        <v>111</v>
      </c>
    </row>
    <row r="33" spans="1:20" x14ac:dyDescent="0.35">
      <c r="A33" s="240"/>
      <c r="B33" s="240"/>
      <c r="C33" s="240"/>
      <c r="D33" s="2" t="s">
        <v>25</v>
      </c>
      <c r="E33" s="2" t="s">
        <v>25</v>
      </c>
      <c r="F33" s="2" t="s">
        <v>25</v>
      </c>
      <c r="G33" s="2" t="s">
        <v>25</v>
      </c>
      <c r="H33" s="2" t="s">
        <v>25</v>
      </c>
      <c r="I33" s="2" t="s">
        <v>25</v>
      </c>
      <c r="J33" s="2" t="s">
        <v>25</v>
      </c>
      <c r="K33" s="2" t="s">
        <v>25</v>
      </c>
      <c r="L33" s="138"/>
      <c r="M33" s="138"/>
      <c r="N33" s="138"/>
      <c r="O33" s="14"/>
      <c r="S33" s="25" t="s">
        <v>108</v>
      </c>
      <c r="T33" s="25" t="s">
        <v>114</v>
      </c>
    </row>
    <row r="34" spans="1:20" x14ac:dyDescent="0.35">
      <c r="A34" s="240"/>
      <c r="B34" s="240"/>
      <c r="C34" s="240"/>
      <c r="D34" s="2" t="s">
        <v>25</v>
      </c>
      <c r="E34" s="2" t="s">
        <v>25</v>
      </c>
      <c r="F34" s="2" t="s">
        <v>25</v>
      </c>
      <c r="G34" s="2" t="s">
        <v>25</v>
      </c>
      <c r="H34" s="2" t="s">
        <v>25</v>
      </c>
      <c r="I34" s="2" t="s">
        <v>25</v>
      </c>
      <c r="J34" s="2" t="s">
        <v>25</v>
      </c>
      <c r="K34" s="2" t="s">
        <v>25</v>
      </c>
      <c r="L34" s="138"/>
      <c r="M34" s="138"/>
      <c r="N34" s="138"/>
      <c r="O34" s="14"/>
      <c r="S34" s="25" t="s">
        <v>111</v>
      </c>
      <c r="T34" s="25" t="s">
        <v>117</v>
      </c>
    </row>
    <row r="35" spans="1:20" x14ac:dyDescent="0.35">
      <c r="A35" s="240"/>
      <c r="B35" s="240"/>
      <c r="C35" s="240"/>
      <c r="D35" s="2" t="s">
        <v>25</v>
      </c>
      <c r="E35" s="2" t="s">
        <v>25</v>
      </c>
      <c r="F35" s="2" t="s">
        <v>25</v>
      </c>
      <c r="G35" s="2" t="s">
        <v>25</v>
      </c>
      <c r="H35" s="2" t="s">
        <v>25</v>
      </c>
      <c r="I35" s="2" t="s">
        <v>25</v>
      </c>
      <c r="J35" s="2" t="s">
        <v>25</v>
      </c>
      <c r="K35" s="2" t="s">
        <v>25</v>
      </c>
      <c r="L35" s="138"/>
      <c r="M35" s="138"/>
      <c r="N35" s="138"/>
      <c r="O35" s="14"/>
      <c r="S35" s="25" t="s">
        <v>114</v>
      </c>
      <c r="T35" s="25" t="s">
        <v>120</v>
      </c>
    </row>
    <row r="36" spans="1:20" x14ac:dyDescent="0.35">
      <c r="A36" s="240"/>
      <c r="B36" s="240"/>
      <c r="C36" s="240"/>
      <c r="D36" s="2" t="s">
        <v>25</v>
      </c>
      <c r="E36" s="2" t="s">
        <v>25</v>
      </c>
      <c r="F36" s="2" t="s">
        <v>25</v>
      </c>
      <c r="G36" s="2" t="s">
        <v>25</v>
      </c>
      <c r="H36" s="2" t="s">
        <v>25</v>
      </c>
      <c r="I36" s="2" t="s">
        <v>25</v>
      </c>
      <c r="J36" s="2" t="s">
        <v>25</v>
      </c>
      <c r="K36" s="2" t="s">
        <v>25</v>
      </c>
      <c r="L36" s="138"/>
      <c r="M36" s="138"/>
      <c r="N36" s="138"/>
      <c r="O36" s="14"/>
      <c r="S36" s="25" t="s">
        <v>117</v>
      </c>
    </row>
    <row r="37" spans="1:20" x14ac:dyDescent="0.35">
      <c r="A37" s="240"/>
      <c r="B37" s="240"/>
      <c r="C37" s="240"/>
      <c r="D37" s="2" t="s">
        <v>25</v>
      </c>
      <c r="E37" s="2" t="s">
        <v>25</v>
      </c>
      <c r="F37" s="2" t="s">
        <v>25</v>
      </c>
      <c r="G37" s="2" t="s">
        <v>25</v>
      </c>
      <c r="H37" s="2" t="s">
        <v>25</v>
      </c>
      <c r="I37" s="2" t="s">
        <v>25</v>
      </c>
      <c r="J37" s="2" t="s">
        <v>25</v>
      </c>
      <c r="K37" s="2" t="s">
        <v>25</v>
      </c>
      <c r="L37" s="138"/>
      <c r="M37" s="138"/>
      <c r="N37" s="138"/>
      <c r="O37" s="14"/>
      <c r="S37" s="25" t="s">
        <v>120</v>
      </c>
    </row>
    <row r="38" spans="1:20" x14ac:dyDescent="0.35">
      <c r="A38" s="240"/>
      <c r="B38" s="240"/>
      <c r="C38" s="240"/>
      <c r="D38" s="2" t="s">
        <v>25</v>
      </c>
      <c r="E38" s="2" t="s">
        <v>25</v>
      </c>
      <c r="F38" s="2" t="s">
        <v>25</v>
      </c>
      <c r="G38" s="2" t="s">
        <v>25</v>
      </c>
      <c r="H38" s="2" t="s">
        <v>25</v>
      </c>
      <c r="I38" s="2" t="s">
        <v>25</v>
      </c>
      <c r="J38" s="2" t="s">
        <v>25</v>
      </c>
      <c r="K38" s="2" t="s">
        <v>25</v>
      </c>
      <c r="L38" s="138"/>
      <c r="M38" s="138"/>
      <c r="N38" s="138"/>
      <c r="O38" s="14"/>
      <c r="S38" s="25" t="s">
        <v>52</v>
      </c>
    </row>
    <row r="39" spans="1:20" x14ac:dyDescent="0.35">
      <c r="A39" s="240"/>
      <c r="B39" s="240"/>
      <c r="C39" s="240"/>
      <c r="D39" s="2" t="s">
        <v>25</v>
      </c>
      <c r="E39" s="2" t="s">
        <v>25</v>
      </c>
      <c r="F39" s="2" t="s">
        <v>25</v>
      </c>
      <c r="G39" s="2" t="s">
        <v>25</v>
      </c>
      <c r="H39" s="2" t="s">
        <v>25</v>
      </c>
      <c r="I39" s="2" t="s">
        <v>25</v>
      </c>
      <c r="J39" s="2" t="s">
        <v>25</v>
      </c>
      <c r="K39" s="2" t="s">
        <v>25</v>
      </c>
      <c r="L39" s="138"/>
      <c r="M39" s="138"/>
      <c r="N39" s="138"/>
      <c r="O39" s="14"/>
      <c r="S39" s="25" t="s">
        <v>121</v>
      </c>
    </row>
    <row r="40" spans="1:20" x14ac:dyDescent="0.35">
      <c r="A40" s="240"/>
      <c r="B40" s="240"/>
      <c r="C40" s="240"/>
      <c r="D40" s="2" t="s">
        <v>25</v>
      </c>
      <c r="E40" s="2" t="s">
        <v>25</v>
      </c>
      <c r="F40" s="2" t="s">
        <v>25</v>
      </c>
      <c r="G40" s="2" t="s">
        <v>25</v>
      </c>
      <c r="H40" s="2" t="s">
        <v>25</v>
      </c>
      <c r="I40" s="2" t="s">
        <v>25</v>
      </c>
      <c r="J40" s="2" t="s">
        <v>25</v>
      </c>
      <c r="K40" s="2" t="s">
        <v>25</v>
      </c>
      <c r="L40" s="138"/>
      <c r="M40" s="138"/>
      <c r="N40" s="138"/>
      <c r="O40" s="14"/>
      <c r="S40" s="25" t="s">
        <v>122</v>
      </c>
    </row>
    <row r="41" spans="1:20" x14ac:dyDescent="0.35">
      <c r="A41" s="240"/>
      <c r="B41" s="240"/>
      <c r="C41" s="240"/>
      <c r="D41" s="2" t="s">
        <v>25</v>
      </c>
      <c r="E41" s="2" t="s">
        <v>25</v>
      </c>
      <c r="F41" s="2" t="s">
        <v>25</v>
      </c>
      <c r="G41" s="2" t="s">
        <v>25</v>
      </c>
      <c r="H41" s="2" t="s">
        <v>25</v>
      </c>
      <c r="I41" s="2" t="s">
        <v>25</v>
      </c>
      <c r="J41" s="2" t="s">
        <v>25</v>
      </c>
      <c r="K41" s="2" t="s">
        <v>25</v>
      </c>
      <c r="L41" s="138"/>
      <c r="M41" s="138"/>
      <c r="N41" s="138"/>
      <c r="O41" s="14"/>
      <c r="S41" s="25" t="s">
        <v>51</v>
      </c>
    </row>
    <row r="42" spans="1:20" ht="15" customHeight="1" thickBot="1" x14ac:dyDescent="0.4">
      <c r="A42" s="15"/>
      <c r="B42" s="3"/>
      <c r="C42" s="3"/>
      <c r="D42" s="3"/>
      <c r="E42" s="3"/>
      <c r="F42" s="4"/>
      <c r="G42" s="4"/>
      <c r="H42" s="4"/>
      <c r="I42" s="4"/>
      <c r="J42" s="4"/>
      <c r="K42" s="4"/>
      <c r="L42" s="4"/>
      <c r="M42" s="16"/>
      <c r="N42" s="16"/>
      <c r="O42" s="17"/>
    </row>
    <row r="43" spans="1:20" ht="15" customHeight="1" thickTop="1" x14ac:dyDescent="0.35">
      <c r="A43" s="175"/>
      <c r="B43" s="176"/>
      <c r="C43" s="176"/>
      <c r="D43" s="176"/>
      <c r="E43" s="176"/>
      <c r="F43" s="177"/>
      <c r="G43" s="177"/>
      <c r="H43" s="177"/>
      <c r="I43" s="177"/>
      <c r="J43" s="177"/>
      <c r="K43" s="177"/>
      <c r="L43" s="177"/>
      <c r="M43" s="178"/>
      <c r="N43" s="178"/>
      <c r="O43" s="179"/>
    </row>
    <row r="44" spans="1:20" x14ac:dyDescent="0.35">
      <c r="A44" s="308" t="s">
        <v>7</v>
      </c>
      <c r="B44" s="306"/>
      <c r="C44" s="306"/>
      <c r="D44" s="306"/>
      <c r="E44" s="306"/>
      <c r="F44" s="306"/>
      <c r="G44" s="306"/>
      <c r="H44" s="306"/>
      <c r="I44" s="306"/>
      <c r="J44" s="306"/>
      <c r="K44" s="306"/>
      <c r="L44" s="306"/>
      <c r="M44" s="306"/>
      <c r="N44" s="306"/>
      <c r="O44" s="307"/>
      <c r="P44" s="126"/>
    </row>
    <row r="45" spans="1:20" x14ac:dyDescent="0.35">
      <c r="A45" s="233" t="s">
        <v>10</v>
      </c>
      <c r="B45" s="233" t="s">
        <v>11</v>
      </c>
      <c r="C45" s="233" t="s">
        <v>12</v>
      </c>
      <c r="D45" s="233" t="s">
        <v>13</v>
      </c>
      <c r="E45" s="233" t="s">
        <v>14</v>
      </c>
      <c r="F45" s="233" t="s">
        <v>15</v>
      </c>
      <c r="G45" s="233" t="s">
        <v>16</v>
      </c>
      <c r="H45" s="233" t="s">
        <v>17</v>
      </c>
      <c r="I45" s="233" t="s">
        <v>18</v>
      </c>
      <c r="J45" s="233" t="s">
        <v>19</v>
      </c>
      <c r="K45" s="233" t="s">
        <v>20</v>
      </c>
      <c r="L45" s="233" t="s">
        <v>21</v>
      </c>
      <c r="M45" s="8" t="s">
        <v>22</v>
      </c>
      <c r="N45" s="8" t="s">
        <v>23</v>
      </c>
      <c r="O45" s="8" t="s">
        <v>24</v>
      </c>
      <c r="P45" s="26"/>
    </row>
    <row r="46" spans="1:20" x14ac:dyDescent="0.35">
      <c r="A46" s="241" t="s">
        <v>26</v>
      </c>
      <c r="B46" s="241" t="s">
        <v>27</v>
      </c>
      <c r="C46" s="241">
        <v>0</v>
      </c>
      <c r="D46" s="241" t="s">
        <v>123</v>
      </c>
      <c r="E46" s="241" t="s">
        <v>123</v>
      </c>
      <c r="F46" s="241"/>
      <c r="G46" s="241" t="s">
        <v>29</v>
      </c>
      <c r="H46" s="241"/>
      <c r="I46" s="241"/>
      <c r="J46" s="241"/>
      <c r="K46" s="241">
        <v>36892</v>
      </c>
      <c r="L46" s="241" t="s">
        <v>31</v>
      </c>
      <c r="M46" s="19">
        <v>100000000</v>
      </c>
      <c r="N46" s="241">
        <v>256</v>
      </c>
      <c r="O46" s="241">
        <v>512</v>
      </c>
      <c r="P46" s="27"/>
    </row>
    <row r="47" spans="1:20" x14ac:dyDescent="0.35">
      <c r="A47" s="121"/>
      <c r="B47" s="121"/>
      <c r="C47" s="121"/>
      <c r="D47" s="121"/>
      <c r="E47" s="121"/>
      <c r="F47" s="121"/>
      <c r="G47" s="121"/>
      <c r="H47" s="121"/>
      <c r="I47" s="121"/>
      <c r="J47" s="121"/>
      <c r="K47" s="121"/>
      <c r="L47" s="121"/>
      <c r="M47" s="180"/>
      <c r="N47" s="180"/>
      <c r="O47" s="181"/>
    </row>
    <row r="48" spans="1:20" x14ac:dyDescent="0.35">
      <c r="A48" s="309" t="s">
        <v>36</v>
      </c>
      <c r="B48" s="310"/>
      <c r="C48" s="310"/>
      <c r="D48" s="310"/>
      <c r="E48" s="310"/>
      <c r="F48" s="310"/>
      <c r="G48" s="310"/>
      <c r="H48" s="310"/>
      <c r="I48" s="310"/>
      <c r="J48" s="310"/>
      <c r="K48" s="311"/>
      <c r="L48" s="180"/>
      <c r="M48" s="180"/>
      <c r="N48" s="180"/>
      <c r="O48" s="181"/>
    </row>
    <row r="49" spans="1:15" x14ac:dyDescent="0.35">
      <c r="A49" s="8" t="s">
        <v>13</v>
      </c>
      <c r="B49" s="8" t="s">
        <v>14</v>
      </c>
      <c r="C49" s="8" t="s">
        <v>15</v>
      </c>
      <c r="D49" s="8" t="s">
        <v>16</v>
      </c>
      <c r="E49" s="8" t="s">
        <v>10</v>
      </c>
      <c r="F49" s="8" t="s">
        <v>8</v>
      </c>
      <c r="G49" s="8" t="s">
        <v>9</v>
      </c>
      <c r="H49" s="8" t="s">
        <v>38</v>
      </c>
      <c r="I49" s="8" t="s">
        <v>39</v>
      </c>
      <c r="J49" s="8" t="s">
        <v>21</v>
      </c>
      <c r="K49" s="8" t="s">
        <v>40</v>
      </c>
      <c r="L49" s="180"/>
      <c r="M49" s="180"/>
      <c r="N49" s="180"/>
      <c r="O49" s="181"/>
    </row>
    <row r="50" spans="1:15" x14ac:dyDescent="0.35">
      <c r="A50" s="241">
        <v>1</v>
      </c>
      <c r="B50" s="241" t="s">
        <v>124</v>
      </c>
      <c r="C50" s="241"/>
      <c r="D50" s="241" t="s">
        <v>29</v>
      </c>
      <c r="E50" s="241" t="s">
        <v>44</v>
      </c>
      <c r="F50" s="241" t="s">
        <v>31</v>
      </c>
      <c r="G50" s="241" t="s">
        <v>33</v>
      </c>
      <c r="H50" s="241" t="s">
        <v>25</v>
      </c>
      <c r="I50" s="241" t="s">
        <v>45</v>
      </c>
      <c r="J50" s="241" t="s">
        <v>25</v>
      </c>
      <c r="K50" s="241" t="s">
        <v>25</v>
      </c>
      <c r="L50" s="180"/>
      <c r="M50" s="180"/>
      <c r="N50" s="180"/>
      <c r="O50" s="181"/>
    </row>
    <row r="51" spans="1:15" x14ac:dyDescent="0.35">
      <c r="A51" s="241">
        <v>2</v>
      </c>
      <c r="B51" s="241" t="s">
        <v>125</v>
      </c>
      <c r="C51" s="241"/>
      <c r="D51" s="241" t="s">
        <v>29</v>
      </c>
      <c r="E51" s="241" t="s">
        <v>44</v>
      </c>
      <c r="F51" s="241" t="s">
        <v>31</v>
      </c>
      <c r="G51" s="241" t="s">
        <v>35</v>
      </c>
      <c r="H51" s="241" t="s">
        <v>25</v>
      </c>
      <c r="I51" s="241" t="s">
        <v>45</v>
      </c>
      <c r="J51" s="241" t="s">
        <v>25</v>
      </c>
      <c r="K51" s="241" t="s">
        <v>25</v>
      </c>
      <c r="L51" s="180"/>
      <c r="M51" s="180"/>
      <c r="N51" s="180"/>
      <c r="O51" s="181"/>
    </row>
    <row r="52" spans="1:15" x14ac:dyDescent="0.35">
      <c r="A52" s="241">
        <v>3</v>
      </c>
      <c r="B52" s="241" t="s">
        <v>126</v>
      </c>
      <c r="C52" s="241"/>
      <c r="D52" s="241" t="s">
        <v>29</v>
      </c>
      <c r="E52" s="241" t="s">
        <v>127</v>
      </c>
      <c r="F52" s="241" t="s">
        <v>37</v>
      </c>
      <c r="G52" s="241" t="s">
        <v>58</v>
      </c>
      <c r="H52" s="241" t="s">
        <v>25</v>
      </c>
      <c r="I52" s="241" t="s">
        <v>45</v>
      </c>
      <c r="J52" s="241" t="s">
        <v>52</v>
      </c>
      <c r="K52" s="241" t="s">
        <v>25</v>
      </c>
      <c r="L52" s="180"/>
      <c r="M52" s="180"/>
      <c r="N52" s="180"/>
      <c r="O52" s="181"/>
    </row>
    <row r="53" spans="1:15" x14ac:dyDescent="0.35">
      <c r="A53" s="241">
        <v>4</v>
      </c>
      <c r="B53" s="241" t="s">
        <v>128</v>
      </c>
      <c r="C53" s="241"/>
      <c r="D53" s="241" t="s">
        <v>29</v>
      </c>
      <c r="E53" s="241" t="s">
        <v>127</v>
      </c>
      <c r="F53" s="241" t="s">
        <v>37</v>
      </c>
      <c r="G53" s="241" t="s">
        <v>69</v>
      </c>
      <c r="H53" s="241" t="s">
        <v>25</v>
      </c>
      <c r="I53" s="241" t="s">
        <v>45</v>
      </c>
      <c r="J53" s="241" t="s">
        <v>52</v>
      </c>
      <c r="K53" s="241" t="s">
        <v>25</v>
      </c>
      <c r="L53" s="180"/>
      <c r="M53" s="180"/>
      <c r="N53" s="180"/>
      <c r="O53" s="181"/>
    </row>
    <row r="54" spans="1:15" x14ac:dyDescent="0.35">
      <c r="A54" s="241">
        <v>5</v>
      </c>
      <c r="B54" s="241" t="s">
        <v>129</v>
      </c>
      <c r="C54" s="241"/>
      <c r="D54" s="241" t="s">
        <v>29</v>
      </c>
      <c r="E54" s="241" t="s">
        <v>127</v>
      </c>
      <c r="F54" s="241" t="s">
        <v>37</v>
      </c>
      <c r="G54" s="241" t="s">
        <v>73</v>
      </c>
      <c r="H54" s="241" t="s">
        <v>25</v>
      </c>
      <c r="I54" s="241" t="s">
        <v>45</v>
      </c>
      <c r="J54" s="241" t="s">
        <v>52</v>
      </c>
      <c r="K54" s="241" t="s">
        <v>25</v>
      </c>
      <c r="L54" s="180"/>
      <c r="M54" s="180"/>
      <c r="N54" s="180"/>
      <c r="O54" s="181"/>
    </row>
    <row r="55" spans="1:15" x14ac:dyDescent="0.35">
      <c r="A55" s="241">
        <v>6</v>
      </c>
      <c r="B55" s="241" t="s">
        <v>130</v>
      </c>
      <c r="C55" s="241"/>
      <c r="D55" s="241" t="s">
        <v>29</v>
      </c>
      <c r="E55" s="241" t="s">
        <v>127</v>
      </c>
      <c r="F55" s="241" t="s">
        <v>37</v>
      </c>
      <c r="G55" s="241" t="s">
        <v>77</v>
      </c>
      <c r="H55" s="241" t="s">
        <v>25</v>
      </c>
      <c r="I55" s="241" t="s">
        <v>45</v>
      </c>
      <c r="J55" s="241" t="s">
        <v>52</v>
      </c>
      <c r="K55" s="241" t="s">
        <v>25</v>
      </c>
      <c r="L55" s="180"/>
      <c r="M55" s="180"/>
      <c r="N55" s="180"/>
      <c r="O55" s="181"/>
    </row>
    <row r="56" spans="1:15" x14ac:dyDescent="0.35">
      <c r="A56" s="241">
        <v>7</v>
      </c>
      <c r="B56" s="241" t="s">
        <v>131</v>
      </c>
      <c r="C56" s="241"/>
      <c r="D56" s="241" t="s">
        <v>29</v>
      </c>
      <c r="E56" s="241" t="s">
        <v>127</v>
      </c>
      <c r="F56" s="241" t="s">
        <v>37</v>
      </c>
      <c r="G56" s="241" t="s">
        <v>81</v>
      </c>
      <c r="H56" s="241" t="s">
        <v>25</v>
      </c>
      <c r="I56" s="241" t="s">
        <v>45</v>
      </c>
      <c r="J56" s="241" t="s">
        <v>52</v>
      </c>
      <c r="K56" s="241" t="s">
        <v>25</v>
      </c>
      <c r="L56" s="180"/>
      <c r="M56" s="180"/>
      <c r="N56" s="180"/>
      <c r="O56" s="181"/>
    </row>
    <row r="57" spans="1:15" x14ac:dyDescent="0.35">
      <c r="A57" s="241">
        <v>8</v>
      </c>
      <c r="B57" s="241" t="s">
        <v>132</v>
      </c>
      <c r="C57" s="241"/>
      <c r="D57" s="241" t="s">
        <v>29</v>
      </c>
      <c r="E57" s="241" t="s">
        <v>127</v>
      </c>
      <c r="F57" s="241" t="s">
        <v>37</v>
      </c>
      <c r="G57" s="241" t="s">
        <v>84</v>
      </c>
      <c r="H57" s="241" t="s">
        <v>25</v>
      </c>
      <c r="I57" s="241" t="s">
        <v>45</v>
      </c>
      <c r="J57" s="241" t="s">
        <v>52</v>
      </c>
      <c r="K57" s="241" t="s">
        <v>25</v>
      </c>
      <c r="L57" s="180"/>
      <c r="M57" s="180"/>
      <c r="N57" s="180"/>
      <c r="O57" s="181"/>
    </row>
    <row r="58" spans="1:15" x14ac:dyDescent="0.35">
      <c r="A58" s="241">
        <v>9</v>
      </c>
      <c r="B58" s="241" t="s">
        <v>133</v>
      </c>
      <c r="C58" s="241"/>
      <c r="D58" s="241" t="s">
        <v>29</v>
      </c>
      <c r="E58" s="241" t="s">
        <v>127</v>
      </c>
      <c r="F58" s="241" t="s">
        <v>37</v>
      </c>
      <c r="G58" s="241" t="s">
        <v>87</v>
      </c>
      <c r="H58" s="241" t="s">
        <v>25</v>
      </c>
      <c r="I58" s="241" t="s">
        <v>45</v>
      </c>
      <c r="J58" s="241" t="s">
        <v>52</v>
      </c>
      <c r="K58" s="241" t="s">
        <v>25</v>
      </c>
      <c r="L58" s="180"/>
      <c r="M58" s="180"/>
      <c r="N58" s="180"/>
      <c r="O58" s="181"/>
    </row>
    <row r="59" spans="1:15" x14ac:dyDescent="0.35">
      <c r="A59" s="241">
        <v>10</v>
      </c>
      <c r="B59" s="241" t="s">
        <v>134</v>
      </c>
      <c r="C59" s="241"/>
      <c r="D59" s="241" t="s">
        <v>29</v>
      </c>
      <c r="E59" s="241" t="s">
        <v>127</v>
      </c>
      <c r="F59" s="241" t="s">
        <v>37</v>
      </c>
      <c r="G59" s="241" t="s">
        <v>90</v>
      </c>
      <c r="H59" s="241" t="s">
        <v>25</v>
      </c>
      <c r="I59" s="241" t="s">
        <v>45</v>
      </c>
      <c r="J59" s="241" t="s">
        <v>52</v>
      </c>
      <c r="K59" s="241" t="s">
        <v>25</v>
      </c>
      <c r="L59" s="180"/>
      <c r="M59" s="180"/>
      <c r="N59" s="180"/>
      <c r="O59" s="181"/>
    </row>
    <row r="60" spans="1:15" x14ac:dyDescent="0.35">
      <c r="A60" s="241">
        <v>11</v>
      </c>
      <c r="B60" s="241" t="s">
        <v>135</v>
      </c>
      <c r="C60" s="241"/>
      <c r="D60" s="241" t="s">
        <v>29</v>
      </c>
      <c r="E60" s="241" t="s">
        <v>127</v>
      </c>
      <c r="F60" s="241" t="s">
        <v>37</v>
      </c>
      <c r="G60" s="241" t="s">
        <v>93</v>
      </c>
      <c r="H60" s="241" t="s">
        <v>25</v>
      </c>
      <c r="I60" s="241" t="s">
        <v>45</v>
      </c>
      <c r="J60" s="241" t="s">
        <v>52</v>
      </c>
      <c r="K60" s="241" t="s">
        <v>25</v>
      </c>
      <c r="L60" s="180"/>
      <c r="M60" s="180"/>
      <c r="N60" s="180"/>
      <c r="O60" s="181"/>
    </row>
    <row r="61" spans="1:15" x14ac:dyDescent="0.35">
      <c r="A61" s="241">
        <v>12</v>
      </c>
      <c r="B61" s="241" t="s">
        <v>136</v>
      </c>
      <c r="C61" s="241"/>
      <c r="D61" s="241" t="s">
        <v>29</v>
      </c>
      <c r="E61" s="241" t="s">
        <v>127</v>
      </c>
      <c r="F61" s="241" t="s">
        <v>37</v>
      </c>
      <c r="G61" s="241" t="s">
        <v>96</v>
      </c>
      <c r="H61" s="241" t="s">
        <v>25</v>
      </c>
      <c r="I61" s="241" t="s">
        <v>45</v>
      </c>
      <c r="J61" s="241" t="s">
        <v>52</v>
      </c>
      <c r="K61" s="241" t="s">
        <v>25</v>
      </c>
      <c r="L61" s="180"/>
      <c r="M61" s="180"/>
      <c r="N61" s="180"/>
      <c r="O61" s="181"/>
    </row>
    <row r="62" spans="1:15" x14ac:dyDescent="0.35">
      <c r="A62" s="241">
        <v>13</v>
      </c>
      <c r="B62" s="241" t="s">
        <v>137</v>
      </c>
      <c r="C62" s="241"/>
      <c r="D62" s="241" t="s">
        <v>29</v>
      </c>
      <c r="E62" s="241" t="s">
        <v>127</v>
      </c>
      <c r="F62" s="241" t="s">
        <v>37</v>
      </c>
      <c r="G62" s="241" t="s">
        <v>99</v>
      </c>
      <c r="H62" s="241" t="s">
        <v>25</v>
      </c>
      <c r="I62" s="241" t="s">
        <v>45</v>
      </c>
      <c r="J62" s="241" t="s">
        <v>52</v>
      </c>
      <c r="K62" s="241" t="s">
        <v>25</v>
      </c>
      <c r="L62" s="180"/>
      <c r="M62" s="180"/>
      <c r="N62" s="180"/>
      <c r="O62" s="181"/>
    </row>
    <row r="63" spans="1:15" x14ac:dyDescent="0.35">
      <c r="A63" s="241">
        <v>14</v>
      </c>
      <c r="B63" s="241" t="s">
        <v>138</v>
      </c>
      <c r="C63" s="241"/>
      <c r="D63" s="241" t="s">
        <v>29</v>
      </c>
      <c r="E63" s="241" t="s">
        <v>127</v>
      </c>
      <c r="F63" s="241" t="s">
        <v>37</v>
      </c>
      <c r="G63" s="241" t="s">
        <v>102</v>
      </c>
      <c r="H63" s="241" t="s">
        <v>25</v>
      </c>
      <c r="I63" s="241" t="s">
        <v>45</v>
      </c>
      <c r="J63" s="241" t="s">
        <v>52</v>
      </c>
      <c r="K63" s="241" t="s">
        <v>25</v>
      </c>
      <c r="L63" s="180"/>
      <c r="M63" s="180"/>
      <c r="N63" s="180"/>
      <c r="O63" s="181"/>
    </row>
    <row r="64" spans="1:15" x14ac:dyDescent="0.35">
      <c r="A64" s="241">
        <v>15</v>
      </c>
      <c r="B64" s="241" t="s">
        <v>139</v>
      </c>
      <c r="C64" s="241"/>
      <c r="D64" s="241" t="s">
        <v>29</v>
      </c>
      <c r="E64" s="241" t="s">
        <v>127</v>
      </c>
      <c r="F64" s="241" t="s">
        <v>37</v>
      </c>
      <c r="G64" s="241" t="s">
        <v>105</v>
      </c>
      <c r="H64" s="241" t="s">
        <v>25</v>
      </c>
      <c r="I64" s="241" t="s">
        <v>45</v>
      </c>
      <c r="J64" s="241" t="s">
        <v>52</v>
      </c>
      <c r="K64" s="241" t="s">
        <v>25</v>
      </c>
      <c r="L64" s="180"/>
      <c r="M64" s="180"/>
      <c r="N64" s="180"/>
      <c r="O64" s="181"/>
    </row>
    <row r="65" spans="1:15" x14ac:dyDescent="0.35">
      <c r="A65" s="241">
        <v>16</v>
      </c>
      <c r="B65" s="241" t="s">
        <v>140</v>
      </c>
      <c r="C65" s="241"/>
      <c r="D65" s="241" t="s">
        <v>29</v>
      </c>
      <c r="E65" s="241" t="s">
        <v>127</v>
      </c>
      <c r="F65" s="241" t="s">
        <v>37</v>
      </c>
      <c r="G65" s="241" t="s">
        <v>108</v>
      </c>
      <c r="H65" s="241" t="s">
        <v>25</v>
      </c>
      <c r="I65" s="241" t="s">
        <v>45</v>
      </c>
      <c r="J65" s="241" t="s">
        <v>52</v>
      </c>
      <c r="K65" s="241" t="s">
        <v>25</v>
      </c>
      <c r="L65" s="180"/>
      <c r="M65" s="180"/>
      <c r="N65" s="180"/>
      <c r="O65" s="181"/>
    </row>
    <row r="66" spans="1:15" x14ac:dyDescent="0.35">
      <c r="A66" s="241">
        <v>17</v>
      </c>
      <c r="B66" s="241" t="s">
        <v>141</v>
      </c>
      <c r="C66" s="241"/>
      <c r="D66" s="241" t="s">
        <v>29</v>
      </c>
      <c r="E66" s="241" t="s">
        <v>127</v>
      </c>
      <c r="F66" s="241" t="s">
        <v>37</v>
      </c>
      <c r="G66" s="241" t="s">
        <v>111</v>
      </c>
      <c r="H66" s="241" t="s">
        <v>25</v>
      </c>
      <c r="I66" s="241" t="s">
        <v>45</v>
      </c>
      <c r="J66" s="241" t="s">
        <v>52</v>
      </c>
      <c r="K66" s="241" t="s">
        <v>25</v>
      </c>
      <c r="L66" s="180"/>
      <c r="M66" s="180"/>
      <c r="N66" s="180"/>
      <c r="O66" s="181"/>
    </row>
    <row r="67" spans="1:15" x14ac:dyDescent="0.35">
      <c r="A67" s="241">
        <v>18</v>
      </c>
      <c r="B67" s="241" t="s">
        <v>142</v>
      </c>
      <c r="C67" s="241"/>
      <c r="D67" s="241" t="s">
        <v>29</v>
      </c>
      <c r="E67" s="241" t="s">
        <v>127</v>
      </c>
      <c r="F67" s="241" t="s">
        <v>37</v>
      </c>
      <c r="G67" s="241" t="s">
        <v>114</v>
      </c>
      <c r="H67" s="241" t="s">
        <v>25</v>
      </c>
      <c r="I67" s="241" t="s">
        <v>45</v>
      </c>
      <c r="J67" s="241" t="s">
        <v>52</v>
      </c>
      <c r="K67" s="241" t="s">
        <v>25</v>
      </c>
      <c r="L67" s="180"/>
      <c r="M67" s="180"/>
      <c r="N67" s="180"/>
      <c r="O67" s="181"/>
    </row>
    <row r="68" spans="1:15" x14ac:dyDescent="0.35">
      <c r="A68" s="241">
        <v>19</v>
      </c>
      <c r="B68" s="241" t="s">
        <v>143</v>
      </c>
      <c r="C68" s="241"/>
      <c r="D68" s="241" t="s">
        <v>29</v>
      </c>
      <c r="E68" s="241" t="s">
        <v>127</v>
      </c>
      <c r="F68" s="241" t="s">
        <v>37</v>
      </c>
      <c r="G68" s="241" t="s">
        <v>117</v>
      </c>
      <c r="H68" s="241" t="s">
        <v>25</v>
      </c>
      <c r="I68" s="241" t="s">
        <v>45</v>
      </c>
      <c r="J68" s="241" t="s">
        <v>52</v>
      </c>
      <c r="K68" s="241" t="s">
        <v>25</v>
      </c>
      <c r="L68" s="180"/>
      <c r="M68" s="180"/>
      <c r="N68" s="180"/>
      <c r="O68" s="181"/>
    </row>
    <row r="69" spans="1:15" x14ac:dyDescent="0.35">
      <c r="A69" s="241">
        <v>20</v>
      </c>
      <c r="B69" s="241" t="s">
        <v>144</v>
      </c>
      <c r="C69" s="241"/>
      <c r="D69" s="241" t="s">
        <v>29</v>
      </c>
      <c r="E69" s="241" t="s">
        <v>127</v>
      </c>
      <c r="F69" s="241" t="s">
        <v>37</v>
      </c>
      <c r="G69" s="241" t="s">
        <v>120</v>
      </c>
      <c r="H69" s="241" t="s">
        <v>25</v>
      </c>
      <c r="I69" s="241" t="s">
        <v>45</v>
      </c>
      <c r="J69" s="241" t="s">
        <v>52</v>
      </c>
      <c r="K69" s="241" t="s">
        <v>25</v>
      </c>
      <c r="L69" s="180"/>
      <c r="M69" s="180"/>
      <c r="N69" s="180"/>
      <c r="O69" s="181"/>
    </row>
    <row r="70" spans="1:15" x14ac:dyDescent="0.35">
      <c r="A70" s="241">
        <v>21</v>
      </c>
      <c r="B70" s="241" t="s">
        <v>145</v>
      </c>
      <c r="C70" s="241"/>
      <c r="D70" s="6" t="s">
        <v>29</v>
      </c>
      <c r="E70" s="241" t="s">
        <v>44</v>
      </c>
      <c r="F70" s="241" t="s">
        <v>52</v>
      </c>
      <c r="G70" s="6" t="s">
        <v>42</v>
      </c>
      <c r="H70" s="6" t="s">
        <v>25</v>
      </c>
      <c r="I70" s="6" t="s">
        <v>45</v>
      </c>
      <c r="J70" s="6" t="s">
        <v>52</v>
      </c>
      <c r="K70" s="6" t="s">
        <v>25</v>
      </c>
      <c r="L70" s="180"/>
      <c r="M70" s="180"/>
      <c r="N70" s="180"/>
      <c r="O70" s="181"/>
    </row>
    <row r="71" spans="1:15" x14ac:dyDescent="0.35">
      <c r="A71" s="241">
        <v>22</v>
      </c>
      <c r="B71" s="241" t="s">
        <v>146</v>
      </c>
      <c r="C71" s="241"/>
      <c r="D71" s="6" t="s">
        <v>29</v>
      </c>
      <c r="E71" s="241" t="s">
        <v>44</v>
      </c>
      <c r="F71" s="241" t="s">
        <v>52</v>
      </c>
      <c r="G71" s="6" t="s">
        <v>46</v>
      </c>
      <c r="H71" s="6" t="s">
        <v>25</v>
      </c>
      <c r="I71" s="6" t="s">
        <v>45</v>
      </c>
      <c r="J71" s="241" t="s">
        <v>52</v>
      </c>
      <c r="K71" s="6" t="s">
        <v>25</v>
      </c>
      <c r="L71" s="180"/>
      <c r="M71" s="180"/>
      <c r="N71" s="180"/>
      <c r="O71" s="181"/>
    </row>
    <row r="72" spans="1:15" x14ac:dyDescent="0.35">
      <c r="A72" s="241"/>
      <c r="B72" s="241"/>
      <c r="C72" s="241"/>
      <c r="D72" s="6" t="s">
        <v>25</v>
      </c>
      <c r="E72" s="6" t="s">
        <v>25</v>
      </c>
      <c r="F72" s="241"/>
      <c r="G72" s="6" t="s">
        <v>25</v>
      </c>
      <c r="H72" s="6" t="s">
        <v>25</v>
      </c>
      <c r="I72" s="6" t="s">
        <v>25</v>
      </c>
      <c r="J72" s="241"/>
      <c r="K72" s="6" t="s">
        <v>25</v>
      </c>
      <c r="L72" s="180"/>
      <c r="M72" s="180"/>
      <c r="N72" s="180"/>
      <c r="O72" s="181"/>
    </row>
    <row r="73" spans="1:15" x14ac:dyDescent="0.35">
      <c r="A73" s="241"/>
      <c r="B73" s="241"/>
      <c r="C73" s="241"/>
      <c r="D73" s="6" t="s">
        <v>25</v>
      </c>
      <c r="E73" s="6" t="s">
        <v>25</v>
      </c>
      <c r="F73" s="241"/>
      <c r="G73" s="6" t="s">
        <v>25</v>
      </c>
      <c r="H73" s="6" t="s">
        <v>25</v>
      </c>
      <c r="I73" s="6" t="s">
        <v>25</v>
      </c>
      <c r="J73" s="241"/>
      <c r="K73" s="6" t="s">
        <v>25</v>
      </c>
      <c r="L73" s="180"/>
      <c r="M73" s="180"/>
      <c r="N73" s="180"/>
      <c r="O73" s="181"/>
    </row>
    <row r="74" spans="1:15" x14ac:dyDescent="0.35">
      <c r="A74" s="241"/>
      <c r="B74" s="241"/>
      <c r="C74" s="241"/>
      <c r="D74" s="6" t="s">
        <v>25</v>
      </c>
      <c r="E74" s="6" t="s">
        <v>25</v>
      </c>
      <c r="F74" s="241"/>
      <c r="G74" s="6" t="s">
        <v>25</v>
      </c>
      <c r="H74" s="6" t="s">
        <v>25</v>
      </c>
      <c r="I74" s="6" t="s">
        <v>25</v>
      </c>
      <c r="J74" s="241"/>
      <c r="K74" s="6" t="s">
        <v>25</v>
      </c>
      <c r="L74" s="180"/>
      <c r="M74" s="180"/>
      <c r="N74" s="180"/>
      <c r="O74" s="181"/>
    </row>
    <row r="75" spans="1:15" x14ac:dyDescent="0.35">
      <c r="A75" s="241"/>
      <c r="B75" s="241"/>
      <c r="C75" s="241"/>
      <c r="D75" s="6" t="s">
        <v>25</v>
      </c>
      <c r="E75" s="6" t="s">
        <v>25</v>
      </c>
      <c r="F75" s="241"/>
      <c r="G75" s="6" t="s">
        <v>25</v>
      </c>
      <c r="H75" s="6" t="s">
        <v>25</v>
      </c>
      <c r="I75" s="6" t="s">
        <v>25</v>
      </c>
      <c r="J75" s="241"/>
      <c r="K75" s="6" t="s">
        <v>25</v>
      </c>
      <c r="L75" s="180"/>
      <c r="M75" s="180"/>
      <c r="N75" s="180"/>
      <c r="O75" s="181"/>
    </row>
    <row r="76" spans="1:15" x14ac:dyDescent="0.35">
      <c r="A76" s="241"/>
      <c r="B76" s="241"/>
      <c r="C76" s="241"/>
      <c r="D76" s="6" t="s">
        <v>25</v>
      </c>
      <c r="E76" s="6" t="s">
        <v>25</v>
      </c>
      <c r="F76" s="241"/>
      <c r="G76" s="6" t="s">
        <v>25</v>
      </c>
      <c r="H76" s="6" t="s">
        <v>25</v>
      </c>
      <c r="I76" s="6" t="s">
        <v>25</v>
      </c>
      <c r="J76" s="241"/>
      <c r="K76" s="6" t="s">
        <v>25</v>
      </c>
      <c r="L76" s="180"/>
      <c r="M76" s="180"/>
      <c r="N76" s="180"/>
      <c r="O76" s="181"/>
    </row>
    <row r="77" spans="1:15" x14ac:dyDescent="0.35">
      <c r="A77" s="241"/>
      <c r="B77" s="241"/>
      <c r="C77" s="241"/>
      <c r="D77" s="6" t="s">
        <v>25</v>
      </c>
      <c r="E77" s="6" t="s">
        <v>25</v>
      </c>
      <c r="F77" s="241"/>
      <c r="G77" s="6" t="s">
        <v>25</v>
      </c>
      <c r="H77" s="6" t="s">
        <v>25</v>
      </c>
      <c r="I77" s="6" t="s">
        <v>25</v>
      </c>
      <c r="J77" s="241"/>
      <c r="K77" s="6" t="s">
        <v>25</v>
      </c>
      <c r="L77" s="180"/>
      <c r="M77" s="180"/>
      <c r="N77" s="180"/>
      <c r="O77" s="181"/>
    </row>
    <row r="78" spans="1:15" x14ac:dyDescent="0.35">
      <c r="A78" s="241"/>
      <c r="B78" s="241"/>
      <c r="C78" s="241"/>
      <c r="D78" s="6" t="s">
        <v>25</v>
      </c>
      <c r="E78" s="6" t="s">
        <v>25</v>
      </c>
      <c r="F78" s="241"/>
      <c r="G78" s="6" t="s">
        <v>25</v>
      </c>
      <c r="H78" s="6" t="s">
        <v>25</v>
      </c>
      <c r="I78" s="6" t="s">
        <v>25</v>
      </c>
      <c r="J78" s="241"/>
      <c r="K78" s="6" t="s">
        <v>25</v>
      </c>
      <c r="L78" s="180"/>
      <c r="M78" s="180"/>
      <c r="N78" s="180"/>
      <c r="O78" s="181"/>
    </row>
    <row r="79" spans="1:15" x14ac:dyDescent="0.35">
      <c r="A79" s="241"/>
      <c r="B79" s="241"/>
      <c r="C79" s="241"/>
      <c r="D79" s="6" t="s">
        <v>25</v>
      </c>
      <c r="E79" s="6" t="s">
        <v>25</v>
      </c>
      <c r="F79" s="241"/>
      <c r="G79" s="6" t="s">
        <v>25</v>
      </c>
      <c r="H79" s="6" t="s">
        <v>25</v>
      </c>
      <c r="I79" s="6" t="s">
        <v>25</v>
      </c>
      <c r="J79" s="241"/>
      <c r="K79" s="6" t="s">
        <v>25</v>
      </c>
      <c r="L79" s="180"/>
      <c r="M79" s="180"/>
      <c r="N79" s="180"/>
      <c r="O79" s="181"/>
    </row>
    <row r="80" spans="1:15" x14ac:dyDescent="0.35">
      <c r="A80" s="241"/>
      <c r="B80" s="241"/>
      <c r="C80" s="241"/>
      <c r="D80" s="6" t="s">
        <v>25</v>
      </c>
      <c r="E80" s="6" t="s">
        <v>25</v>
      </c>
      <c r="F80" s="241"/>
      <c r="G80" s="6" t="s">
        <v>25</v>
      </c>
      <c r="H80" s="6" t="s">
        <v>25</v>
      </c>
      <c r="I80" s="6" t="s">
        <v>25</v>
      </c>
      <c r="J80" s="241"/>
      <c r="K80" s="6" t="s">
        <v>25</v>
      </c>
      <c r="L80" s="180"/>
      <c r="M80" s="180"/>
      <c r="N80" s="180"/>
      <c r="O80" s="181"/>
    </row>
    <row r="81" spans="1:15" ht="15" customHeight="1" thickBot="1" x14ac:dyDescent="0.4">
      <c r="A81" s="182"/>
      <c r="B81" s="122"/>
      <c r="C81" s="122"/>
      <c r="D81" s="122"/>
      <c r="E81" s="122"/>
      <c r="F81" s="183"/>
      <c r="G81" s="183"/>
      <c r="H81" s="183"/>
      <c r="I81" s="183"/>
      <c r="J81" s="183"/>
      <c r="K81" s="183"/>
      <c r="L81" s="183"/>
      <c r="M81" s="184"/>
      <c r="N81" s="184"/>
      <c r="O81" s="185"/>
    </row>
    <row r="82" spans="1:15" ht="15" customHeight="1" thickTop="1" x14ac:dyDescent="0.35"/>
  </sheetData>
  <mergeCells count="4">
    <mergeCell ref="A1:O1"/>
    <mergeCell ref="A5:K5"/>
    <mergeCell ref="A44:O44"/>
    <mergeCell ref="A48:K48"/>
  </mergeCells>
  <dataValidations count="22">
    <dataValidation type="list" allowBlank="1" showInputMessage="1" showErrorMessage="1" sqref="F7:F32" xr:uid="{00000000-0002-0000-0100-000000000000}">
      <formula1>$S$2:$S$32</formula1>
    </dataValidation>
    <dataValidation type="date" operator="greaterThan" allowBlank="1" showInputMessage="1" showErrorMessage="1" sqref="K3 K46" xr:uid="{00000000-0002-0000-0100-000001000000}">
      <formula1>36526</formula1>
    </dataValidation>
    <dataValidation type="list" allowBlank="1" showInputMessage="1" showErrorMessage="1" sqref="G3 F42:F43 F81 J42:J43 J81 G46" xr:uid="{00000000-0002-0000-0100-000002000000}">
      <formula1>"Yes,'---"</formula1>
    </dataValidation>
    <dataValidation type="list" allowBlank="1" showInputMessage="1" showErrorMessage="1" sqref="G42:G43 G81" xr:uid="{00000000-0002-0000-0100-000003000000}">
      <formula1>"Trigger,Clock,Software Trigger"</formula1>
    </dataValidation>
    <dataValidation type="list" allowBlank="1" showInputMessage="1" showErrorMessage="1" sqref="M3 K50:K80 K7:K41 M46" xr:uid="{00000000-0002-0000-0100-000004000000}">
      <formula1>"'---"</formula1>
    </dataValidation>
    <dataValidation type="list" allowBlank="1" showInputMessage="1" showErrorMessage="1" sqref="E7:E41 E50:E80" xr:uid="{00000000-0002-0000-0100-000005000000}">
      <formula1>"'---,Trigger,Clock,Software Trigger"</formula1>
    </dataValidation>
    <dataValidation type="list" allowBlank="1" showInputMessage="1" showErrorMessage="1" sqref="D7:D41 D50:D80" xr:uid="{00000000-0002-0000-0100-000006000000}">
      <formula1>"'---,Yes"</formula1>
    </dataValidation>
    <dataValidation type="list" allowBlank="1" showInputMessage="1" showErrorMessage="1" sqref="I7:I41 I50:I80" xr:uid="{00000000-0002-0000-0100-000007000000}">
      <formula1>"'---,Rising,Falling"</formula1>
    </dataValidation>
    <dataValidation type="list" allowBlank="1" showInputMessage="1" showErrorMessage="1" sqref="J51 J8 J70:J71" xr:uid="{00000000-0002-0000-0100-000008000000}">
      <formula1>"'---,SyncClkFullSpeed,SyncClkDivided1,SyncClkDivided2"</formula1>
    </dataValidation>
    <dataValidation type="list" allowBlank="1" showInputMessage="1" showErrorMessage="1" sqref="P3 P46" xr:uid="{00000000-0002-0000-0100-000009000000}">
      <formula1>"'---,2,4,8,16,32,64,128,256,512"</formula1>
    </dataValidation>
    <dataValidation type="list" allowBlank="1" showInputMessage="1" showErrorMessage="1" sqref="J72:J80 J50 J7 J52:J69 J9:J41" xr:uid="{00000000-0002-0000-0100-00000A000000}">
      <formula1>"'---,SyncClkAsync,SyncClkFullSpeed,SyncClkDivided1,SyncClkDivided2"</formula1>
    </dataValidation>
    <dataValidation type="list" operator="greaterThan" allowBlank="1" showInputMessage="1" showErrorMessage="1" sqref="L3 L46" xr:uid="{00000000-0002-0000-0100-00000B000000}">
      <formula1>"---,PFI0,DDS,PXI_Clk10,PXIe_Clk100,Clkin,Oscillator"</formula1>
    </dataValidation>
    <dataValidation type="list" allowBlank="1" showInputMessage="1" showErrorMessage="1" sqref="H7:H41 H50:H80" xr:uid="{00000000-0002-0000-0100-00000C000000}">
      <formula1>"'---,Invert"</formula1>
    </dataValidation>
    <dataValidation allowBlank="1" showInputMessage="1" showErrorMessage="1" promptTitle="Engine Port Setting" prompt="This is the remote port that you are trying to connect to" sqref="C3 C46" xr:uid="{00000000-0002-0000-0100-00000D000000}"/>
    <dataValidation type="list" allowBlank="1" showInputMessage="1" showErrorMessage="1" promptTitle="Engine IP Address" prompt="IP address of the machine that the Engine is running on" sqref="B3 B46" xr:uid="{00000000-0002-0000-0100-00000E000000}">
      <formula1>"localhost"</formula1>
    </dataValidation>
    <dataValidation type="list" allowBlank="1" showInputMessage="1" showErrorMessage="1" sqref="F33:F41 F50:F80" xr:uid="{00000000-0002-0000-0100-00000F000000}">
      <formula1>$S$2:$S$41</formula1>
    </dataValidation>
    <dataValidation type="list" allowBlank="1" showInputMessage="1" showErrorMessage="1" sqref="H81 H42:H43" xr:uid="{00000000-0002-0000-0100-000010000000}">
      <formula1>$S$4:$S$41</formula1>
    </dataValidation>
    <dataValidation type="list" allowBlank="1" showInputMessage="1" showErrorMessage="1" errorTitle="Sync Clock (Divided 2)" error="Value must be a power of 2" promptTitle="Sync Clock (Divided 2)" prompt="Divisor for the Synchronization clock. Divisor / Sync clock frequency" sqref="O3 O46" xr:uid="{00000000-0002-0000-0100-000011000000}">
      <formula1>"'---,2,4,8,16,32,64,128,256,512"</formula1>
    </dataValidation>
    <dataValidation type="list" allowBlank="1" showInputMessage="1" showErrorMessage="1" errorTitle="Sync Clock (Divided 1)" error="Value must be a power of 2" promptTitle="Sync Clock (Divided 1)" prompt="Divisor for the Synchronization clock. Divisor / Sync clock frequency" sqref="N3 N46" xr:uid="{00000000-0002-0000-0100-000012000000}">
      <formula1>"'---,2,4,8,16,32,64,128,256,512"</formula1>
    </dataValidation>
    <dataValidation type="list" allowBlank="1" showInputMessage="1" showErrorMessage="1" sqref="G7:G32" xr:uid="{00000000-0002-0000-0100-000013000000}">
      <formula1>$T$2:$T$31</formula1>
    </dataValidation>
    <dataValidation type="list" allowBlank="1" showInputMessage="1" showErrorMessage="1" sqref="G33:G41 G50:G80" xr:uid="{00000000-0002-0000-0100-000014000000}">
      <formula1>$T$2:$T$34</formula1>
    </dataValidation>
    <dataValidation type="list" allowBlank="1" showInputMessage="1" showErrorMessage="1" sqref="I81 I42:I43" xr:uid="{00000000-0002-0000-0100-000015000000}">
      <formula1>$T$3:$T$34</formula1>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X240"/>
  <sheetViews>
    <sheetView zoomScale="76" zoomScaleNormal="76" workbookViewId="0">
      <selection activeCell="D6" sqref="D6"/>
    </sheetView>
  </sheetViews>
  <sheetFormatPr defaultColWidth="14.1796875" defaultRowHeight="13" x14ac:dyDescent="0.35"/>
  <cols>
    <col min="1" max="1" width="11" style="110" bestFit="1" customWidth="1"/>
    <col min="2" max="2" width="31.453125" style="110" customWidth="1"/>
    <col min="3" max="3" width="30.54296875" style="110" customWidth="1"/>
    <col min="4" max="4" width="11.81640625" style="110" bestFit="1" customWidth="1"/>
    <col min="5" max="5" width="12.1796875" style="110" bestFit="1" customWidth="1"/>
    <col min="6" max="6" width="13.26953125" style="110" bestFit="1" customWidth="1"/>
    <col min="7" max="7" width="13.54296875" style="110" bestFit="1" customWidth="1"/>
    <col min="8" max="8" width="24.1796875" style="110" bestFit="1" customWidth="1"/>
    <col min="9" max="9" width="19.81640625" style="110" bestFit="1" customWidth="1"/>
    <col min="10" max="10" width="19.26953125" style="110" bestFit="1" customWidth="1"/>
    <col min="11" max="11" width="13.7265625" style="110" bestFit="1" customWidth="1"/>
    <col min="12" max="12" width="23" style="110" bestFit="1" customWidth="1"/>
    <col min="13" max="13" width="21.453125" style="110" bestFit="1" customWidth="1"/>
    <col min="14" max="14" width="16.453125" style="110" bestFit="1" customWidth="1"/>
    <col min="15" max="15" width="8.81640625" style="110" bestFit="1" customWidth="1"/>
    <col min="16" max="16" width="10" style="110" bestFit="1" customWidth="1"/>
    <col min="17" max="17" width="13.81640625" style="110" bestFit="1" customWidth="1"/>
    <col min="18" max="18" width="9" style="110" bestFit="1" customWidth="1"/>
    <col min="19" max="19" width="11.7265625" style="110" bestFit="1" customWidth="1"/>
    <col min="20" max="20" width="20.453125" style="110" bestFit="1" customWidth="1"/>
    <col min="21" max="21" width="19.26953125" style="110" bestFit="1" customWidth="1"/>
    <col min="22" max="22" width="11.453125" style="110" bestFit="1" customWidth="1"/>
    <col min="23" max="23" width="11.453125" style="110" customWidth="1"/>
    <col min="24" max="30" width="14.1796875" style="110" customWidth="1"/>
    <col min="31" max="16384" width="14.1796875" style="110"/>
  </cols>
  <sheetData>
    <row r="1" spans="1:24" ht="14.65" customHeight="1" x14ac:dyDescent="0.35">
      <c r="A1" s="312" t="s">
        <v>7</v>
      </c>
      <c r="B1" s="310"/>
      <c r="C1" s="310"/>
      <c r="D1" s="310"/>
      <c r="E1" s="310"/>
      <c r="F1" s="310"/>
      <c r="G1" s="310"/>
      <c r="H1" s="310"/>
      <c r="I1" s="310"/>
      <c r="J1" s="310"/>
      <c r="K1" s="310"/>
      <c r="L1" s="310"/>
      <c r="M1" s="310"/>
      <c r="N1" s="310"/>
      <c r="O1" s="310"/>
      <c r="P1" s="310"/>
      <c r="Q1" s="310"/>
      <c r="R1" s="310"/>
      <c r="S1" s="310"/>
      <c r="T1" s="310"/>
      <c r="U1" s="310"/>
      <c r="V1" s="311"/>
      <c r="W1" s="61"/>
    </row>
    <row r="2" spans="1:24" x14ac:dyDescent="0.35">
      <c r="A2" s="59" t="s">
        <v>10</v>
      </c>
      <c r="B2" s="59" t="s">
        <v>11</v>
      </c>
      <c r="C2" s="59" t="s">
        <v>12</v>
      </c>
      <c r="D2" s="59" t="s">
        <v>13</v>
      </c>
      <c r="E2" s="59" t="s">
        <v>14</v>
      </c>
      <c r="F2" s="59" t="s">
        <v>15</v>
      </c>
      <c r="G2" s="59" t="s">
        <v>16</v>
      </c>
      <c r="H2" s="59" t="s">
        <v>17</v>
      </c>
      <c r="I2" s="59" t="s">
        <v>18</v>
      </c>
      <c r="J2" s="59" t="s">
        <v>19</v>
      </c>
      <c r="K2" s="59" t="s">
        <v>20</v>
      </c>
      <c r="L2" s="59" t="s">
        <v>147</v>
      </c>
      <c r="M2" s="59" t="s">
        <v>148</v>
      </c>
      <c r="N2" s="59" t="s">
        <v>149</v>
      </c>
      <c r="O2" s="59" t="s">
        <v>150</v>
      </c>
      <c r="P2" s="59" t="s">
        <v>151</v>
      </c>
      <c r="Q2" s="59" t="s">
        <v>152</v>
      </c>
      <c r="R2" s="59" t="s">
        <v>153</v>
      </c>
      <c r="S2" s="59" t="s">
        <v>154</v>
      </c>
      <c r="T2" s="59" t="s">
        <v>155</v>
      </c>
      <c r="U2" s="59" t="s">
        <v>156</v>
      </c>
      <c r="V2" s="59" t="s">
        <v>157</v>
      </c>
      <c r="W2" s="111"/>
      <c r="X2" s="112"/>
    </row>
    <row r="3" spans="1:24" x14ac:dyDescent="0.3">
      <c r="A3" s="245" t="s">
        <v>158</v>
      </c>
      <c r="B3" s="240" t="s">
        <v>159</v>
      </c>
      <c r="C3" s="240">
        <v>0</v>
      </c>
      <c r="D3" s="245" t="s">
        <v>160</v>
      </c>
      <c r="E3" s="245" t="s">
        <v>160</v>
      </c>
      <c r="F3" s="245"/>
      <c r="G3" s="151" t="s">
        <v>29</v>
      </c>
      <c r="H3" s="245" t="s">
        <v>161</v>
      </c>
      <c r="I3" s="245"/>
      <c r="J3" s="245"/>
      <c r="K3" s="60">
        <v>36892</v>
      </c>
      <c r="L3" s="60" t="s">
        <v>162</v>
      </c>
      <c r="M3" s="60" t="s">
        <v>45</v>
      </c>
      <c r="N3" s="238" t="s">
        <v>163</v>
      </c>
      <c r="O3" s="238" t="s">
        <v>25</v>
      </c>
      <c r="P3" s="238" t="s">
        <v>164</v>
      </c>
      <c r="Q3" s="113" t="s">
        <v>25</v>
      </c>
      <c r="R3" s="113" t="s">
        <v>45</v>
      </c>
      <c r="S3" s="245" t="s">
        <v>165</v>
      </c>
      <c r="T3" s="238">
        <v>250000</v>
      </c>
      <c r="U3" s="238" t="s">
        <v>25</v>
      </c>
      <c r="V3" s="238">
        <v>0.1</v>
      </c>
      <c r="W3" s="114"/>
      <c r="X3" s="115"/>
    </row>
    <row r="4" spans="1:24" x14ac:dyDescent="0.35">
      <c r="A4" s="74"/>
      <c r="B4" s="74"/>
      <c r="C4" s="74"/>
      <c r="D4" s="74"/>
      <c r="E4" s="74"/>
      <c r="F4" s="74"/>
      <c r="G4" s="74"/>
      <c r="H4" s="74"/>
      <c r="I4" s="74"/>
      <c r="J4" s="74"/>
      <c r="K4" s="74"/>
      <c r="L4" s="74"/>
      <c r="M4" s="74"/>
      <c r="N4" s="74"/>
      <c r="O4" s="74"/>
      <c r="P4" s="74"/>
      <c r="Q4" s="74"/>
      <c r="R4" s="74"/>
      <c r="S4" s="74"/>
      <c r="T4" s="74"/>
      <c r="U4" s="74"/>
      <c r="V4" s="74"/>
      <c r="W4" s="61"/>
    </row>
    <row r="5" spans="1:24" ht="14.65" customHeight="1" x14ac:dyDescent="0.35">
      <c r="A5" s="312" t="s">
        <v>36</v>
      </c>
      <c r="B5" s="310"/>
      <c r="C5" s="310"/>
      <c r="D5" s="310"/>
      <c r="E5" s="310"/>
      <c r="F5" s="310"/>
      <c r="G5" s="310"/>
      <c r="H5" s="310"/>
      <c r="I5" s="310"/>
      <c r="J5" s="310"/>
      <c r="K5" s="310"/>
      <c r="L5" s="310"/>
      <c r="M5" s="310"/>
      <c r="N5" s="310"/>
      <c r="O5" s="311"/>
      <c r="P5" s="74"/>
      <c r="Q5" s="74"/>
      <c r="R5" s="74"/>
      <c r="S5" s="74"/>
      <c r="T5" s="74"/>
      <c r="U5" s="74"/>
      <c r="V5" s="74"/>
      <c r="W5" s="61"/>
    </row>
    <row r="6" spans="1:24" x14ac:dyDescent="0.35">
      <c r="A6" s="36" t="s">
        <v>13</v>
      </c>
      <c r="B6" s="36" t="s">
        <v>14</v>
      </c>
      <c r="C6" s="36" t="s">
        <v>15</v>
      </c>
      <c r="D6" s="36" t="s">
        <v>16</v>
      </c>
      <c r="E6" s="36" t="s">
        <v>166</v>
      </c>
      <c r="F6" s="36" t="s">
        <v>167</v>
      </c>
      <c r="G6" s="36" t="s">
        <v>168</v>
      </c>
      <c r="H6" s="36" t="s">
        <v>169</v>
      </c>
      <c r="I6" s="36" t="s">
        <v>170</v>
      </c>
      <c r="J6" s="36" t="s">
        <v>171</v>
      </c>
      <c r="K6" s="36" t="s">
        <v>172</v>
      </c>
      <c r="L6" s="36" t="s">
        <v>173</v>
      </c>
      <c r="M6" s="36" t="s">
        <v>174</v>
      </c>
      <c r="N6" s="36" t="s">
        <v>175</v>
      </c>
      <c r="O6" s="59" t="s">
        <v>176</v>
      </c>
      <c r="P6" s="74"/>
      <c r="Q6" s="74"/>
      <c r="R6" s="74"/>
      <c r="S6" s="74"/>
      <c r="T6" s="74"/>
      <c r="U6" s="74"/>
      <c r="V6" s="74"/>
      <c r="W6" s="61"/>
    </row>
    <row r="7" spans="1:24" x14ac:dyDescent="0.3">
      <c r="A7" s="245">
        <v>0</v>
      </c>
      <c r="B7" s="142" t="s">
        <v>177</v>
      </c>
      <c r="C7" s="142" t="s">
        <v>177</v>
      </c>
      <c r="D7" s="151" t="s">
        <v>29</v>
      </c>
      <c r="E7" s="238" t="s">
        <v>25</v>
      </c>
      <c r="F7" s="238">
        <v>0</v>
      </c>
      <c r="G7" s="236">
        <v>60</v>
      </c>
      <c r="H7" s="245" t="s">
        <v>178</v>
      </c>
      <c r="I7" s="238" t="s">
        <v>179</v>
      </c>
      <c r="J7" s="243">
        <v>3</v>
      </c>
      <c r="K7" s="243">
        <v>10</v>
      </c>
      <c r="L7" s="245">
        <v>1000</v>
      </c>
      <c r="M7" s="245">
        <v>1000</v>
      </c>
      <c r="N7" s="245">
        <v>1000</v>
      </c>
      <c r="O7" s="245"/>
      <c r="P7" s="74"/>
      <c r="Q7" s="74"/>
      <c r="R7" s="74"/>
      <c r="S7" s="74"/>
      <c r="T7" s="74"/>
      <c r="U7" s="74"/>
      <c r="V7" s="74"/>
      <c r="W7" s="61"/>
    </row>
    <row r="8" spans="1:24" x14ac:dyDescent="0.3">
      <c r="A8" s="245">
        <v>1</v>
      </c>
      <c r="B8" s="142" t="s">
        <v>180</v>
      </c>
      <c r="C8" s="142" t="s">
        <v>180</v>
      </c>
      <c r="D8" s="151" t="s">
        <v>29</v>
      </c>
      <c r="E8" s="238" t="s">
        <v>25</v>
      </c>
      <c r="F8" s="238">
        <v>0</v>
      </c>
      <c r="G8" s="236">
        <v>60</v>
      </c>
      <c r="H8" s="245" t="s">
        <v>178</v>
      </c>
      <c r="I8" s="238" t="s">
        <v>179</v>
      </c>
      <c r="J8" s="243">
        <v>3</v>
      </c>
      <c r="K8" s="243">
        <v>10</v>
      </c>
      <c r="L8" s="245">
        <v>1000</v>
      </c>
      <c r="M8" s="245">
        <v>1000</v>
      </c>
      <c r="N8" s="245">
        <v>1000</v>
      </c>
      <c r="O8" s="245"/>
      <c r="P8" s="74"/>
      <c r="Q8" s="74"/>
      <c r="R8" s="74"/>
      <c r="S8" s="74"/>
      <c r="T8" s="74"/>
      <c r="U8" s="74"/>
      <c r="V8" s="74"/>
      <c r="W8" s="61"/>
    </row>
    <row r="9" spans="1:24" x14ac:dyDescent="0.3">
      <c r="A9" s="245">
        <v>2</v>
      </c>
      <c r="B9" s="143" t="s">
        <v>181</v>
      </c>
      <c r="C9" s="143" t="s">
        <v>181</v>
      </c>
      <c r="D9" s="151" t="s">
        <v>29</v>
      </c>
      <c r="E9" s="238" t="s">
        <v>25</v>
      </c>
      <c r="F9" s="238">
        <v>0</v>
      </c>
      <c r="G9" s="236">
        <v>60</v>
      </c>
      <c r="H9" s="245" t="s">
        <v>178</v>
      </c>
      <c r="I9" s="238" t="s">
        <v>179</v>
      </c>
      <c r="J9" s="243">
        <v>3</v>
      </c>
      <c r="K9" s="243">
        <v>10</v>
      </c>
      <c r="L9" s="245">
        <v>1000</v>
      </c>
      <c r="M9" s="245">
        <v>1000</v>
      </c>
      <c r="N9" s="245">
        <v>1000</v>
      </c>
      <c r="O9" s="245"/>
      <c r="P9" s="74"/>
      <c r="Q9" s="74"/>
      <c r="R9" s="74"/>
      <c r="S9" s="74"/>
      <c r="T9" s="74"/>
      <c r="U9" s="74"/>
      <c r="V9" s="74"/>
      <c r="W9" s="61"/>
    </row>
    <row r="10" spans="1:24" x14ac:dyDescent="0.3">
      <c r="A10" s="245">
        <v>3</v>
      </c>
      <c r="B10" s="142" t="s">
        <v>182</v>
      </c>
      <c r="C10" s="142" t="s">
        <v>182</v>
      </c>
      <c r="D10" s="151" t="s">
        <v>29</v>
      </c>
      <c r="E10" s="238" t="s">
        <v>25</v>
      </c>
      <c r="F10" s="238">
        <v>0</v>
      </c>
      <c r="G10" s="236">
        <v>60</v>
      </c>
      <c r="H10" s="245" t="s">
        <v>178</v>
      </c>
      <c r="I10" s="238" t="s">
        <v>179</v>
      </c>
      <c r="J10" s="243">
        <v>3</v>
      </c>
      <c r="K10" s="243">
        <v>10</v>
      </c>
      <c r="L10" s="245">
        <v>1000</v>
      </c>
      <c r="M10" s="245">
        <v>1000</v>
      </c>
      <c r="N10" s="245">
        <v>1000</v>
      </c>
      <c r="O10" s="245"/>
      <c r="P10" s="74"/>
      <c r="Q10" s="74"/>
      <c r="R10" s="74"/>
      <c r="S10" s="74"/>
      <c r="T10" s="74"/>
      <c r="U10" s="74"/>
      <c r="V10" s="74"/>
      <c r="W10" s="61"/>
    </row>
    <row r="11" spans="1:24" x14ac:dyDescent="0.3">
      <c r="A11" s="245">
        <v>4</v>
      </c>
      <c r="B11" s="144" t="s">
        <v>183</v>
      </c>
      <c r="C11" s="144" t="s">
        <v>183</v>
      </c>
      <c r="D11" s="151" t="s">
        <v>29</v>
      </c>
      <c r="E11" s="238" t="s">
        <v>25</v>
      </c>
      <c r="F11" s="238">
        <v>0</v>
      </c>
      <c r="G11" s="235">
        <v>60</v>
      </c>
      <c r="H11" s="245" t="s">
        <v>178</v>
      </c>
      <c r="I11" s="238" t="s">
        <v>179</v>
      </c>
      <c r="J11" s="243">
        <v>1</v>
      </c>
      <c r="K11" s="243">
        <v>50</v>
      </c>
      <c r="L11" s="245">
        <v>1000</v>
      </c>
      <c r="M11" s="245">
        <v>1000</v>
      </c>
      <c r="N11" s="245">
        <v>1000</v>
      </c>
      <c r="O11" s="245"/>
      <c r="P11" s="74"/>
      <c r="Q11" s="74"/>
      <c r="R11" s="74"/>
      <c r="S11" s="74"/>
      <c r="T11" s="74"/>
      <c r="U11" s="74"/>
      <c r="V11" s="74"/>
      <c r="W11" s="61"/>
    </row>
    <row r="12" spans="1:24" x14ac:dyDescent="0.3">
      <c r="A12" s="245">
        <v>5</v>
      </c>
      <c r="B12" s="144" t="s">
        <v>184</v>
      </c>
      <c r="C12" s="144" t="s">
        <v>184</v>
      </c>
      <c r="D12" s="151" t="s">
        <v>29</v>
      </c>
      <c r="E12" s="238" t="s">
        <v>25</v>
      </c>
      <c r="F12" s="238">
        <v>0</v>
      </c>
      <c r="G12" s="235">
        <v>60</v>
      </c>
      <c r="H12" s="245" t="s">
        <v>178</v>
      </c>
      <c r="I12" s="238" t="s">
        <v>179</v>
      </c>
      <c r="J12" s="243">
        <v>1</v>
      </c>
      <c r="K12" s="243">
        <v>50</v>
      </c>
      <c r="L12" s="245">
        <v>1000</v>
      </c>
      <c r="M12" s="245">
        <v>1000</v>
      </c>
      <c r="N12" s="245">
        <v>1000</v>
      </c>
      <c r="O12" s="245"/>
      <c r="P12" s="74"/>
      <c r="Q12" s="74"/>
      <c r="R12" s="74"/>
      <c r="S12" s="74"/>
      <c r="T12" s="74"/>
      <c r="U12" s="74"/>
      <c r="V12" s="74"/>
      <c r="W12" s="61"/>
    </row>
    <row r="13" spans="1:24" x14ac:dyDescent="0.3">
      <c r="A13" s="245">
        <v>6</v>
      </c>
      <c r="B13" s="144" t="s">
        <v>185</v>
      </c>
      <c r="C13" s="144" t="s">
        <v>185</v>
      </c>
      <c r="D13" s="151" t="s">
        <v>29</v>
      </c>
      <c r="E13" s="238" t="s">
        <v>25</v>
      </c>
      <c r="F13" s="238">
        <v>0</v>
      </c>
      <c r="G13" s="245">
        <v>60</v>
      </c>
      <c r="H13" s="245" t="s">
        <v>178</v>
      </c>
      <c r="I13" s="238" t="s">
        <v>179</v>
      </c>
      <c r="J13" s="243">
        <v>1</v>
      </c>
      <c r="K13" s="243">
        <v>5</v>
      </c>
      <c r="L13" s="245">
        <v>1000</v>
      </c>
      <c r="M13" s="245">
        <v>1000</v>
      </c>
      <c r="N13" s="245">
        <v>1000</v>
      </c>
      <c r="O13" s="245"/>
      <c r="P13" s="74"/>
      <c r="Q13" s="74"/>
      <c r="R13" s="74"/>
      <c r="S13" s="74"/>
      <c r="T13" s="74"/>
      <c r="U13" s="74"/>
      <c r="V13" s="74"/>
      <c r="W13" s="61"/>
    </row>
    <row r="14" spans="1:24" x14ac:dyDescent="0.3">
      <c r="A14" s="245">
        <v>7</v>
      </c>
      <c r="B14" s="144" t="s">
        <v>186</v>
      </c>
      <c r="C14" s="144" t="s">
        <v>186</v>
      </c>
      <c r="D14" s="151" t="s">
        <v>29</v>
      </c>
      <c r="E14" s="238" t="s">
        <v>25</v>
      </c>
      <c r="F14" s="238">
        <v>0</v>
      </c>
      <c r="G14" s="245">
        <v>60</v>
      </c>
      <c r="H14" s="245" t="s">
        <v>178</v>
      </c>
      <c r="I14" s="238" t="s">
        <v>179</v>
      </c>
      <c r="J14" s="243">
        <v>1</v>
      </c>
      <c r="K14" s="243">
        <v>5</v>
      </c>
      <c r="L14" s="245">
        <v>1000</v>
      </c>
      <c r="M14" s="245">
        <v>1000</v>
      </c>
      <c r="N14" s="245">
        <v>1000</v>
      </c>
      <c r="O14" s="245"/>
      <c r="P14" s="74"/>
      <c r="Q14" s="74"/>
      <c r="R14" s="74"/>
      <c r="S14" s="74"/>
      <c r="T14" s="74"/>
      <c r="U14" s="74"/>
      <c r="V14" s="74"/>
      <c r="W14" s="61"/>
    </row>
    <row r="15" spans="1:24" ht="13.4" customHeight="1" thickBot="1" x14ac:dyDescent="0.4">
      <c r="A15" s="62"/>
      <c r="B15" s="62"/>
      <c r="C15" s="62"/>
      <c r="D15" s="62"/>
      <c r="E15" s="62"/>
      <c r="F15" s="62"/>
      <c r="G15" s="62"/>
      <c r="H15" s="62"/>
      <c r="I15" s="62"/>
      <c r="J15" s="62"/>
      <c r="K15" s="62"/>
      <c r="L15" s="62"/>
      <c r="M15" s="62"/>
      <c r="N15" s="62"/>
      <c r="O15" s="62"/>
      <c r="P15" s="62"/>
      <c r="Q15" s="62"/>
      <c r="R15" s="62"/>
      <c r="S15" s="62"/>
      <c r="T15" s="62"/>
      <c r="U15" s="62"/>
      <c r="V15" s="62"/>
      <c r="W15" s="63"/>
    </row>
    <row r="16" spans="1:24" ht="13.4" customHeight="1" thickTop="1" x14ac:dyDescent="0.35">
      <c r="A16" s="68"/>
      <c r="B16" s="68"/>
      <c r="C16" s="68"/>
      <c r="D16" s="68"/>
      <c r="E16" s="68"/>
      <c r="F16" s="68"/>
      <c r="G16" s="68"/>
      <c r="H16" s="68"/>
      <c r="I16" s="68"/>
      <c r="J16" s="68"/>
      <c r="K16" s="68"/>
      <c r="L16" s="68"/>
      <c r="M16" s="68"/>
      <c r="N16" s="68"/>
      <c r="O16" s="68"/>
      <c r="P16" s="68"/>
      <c r="Q16" s="68"/>
      <c r="R16" s="68"/>
      <c r="S16" s="68"/>
      <c r="T16" s="68"/>
      <c r="U16" s="68"/>
      <c r="V16" s="85"/>
      <c r="W16" s="64"/>
    </row>
    <row r="17" spans="1:23" ht="14.65" customHeight="1" x14ac:dyDescent="0.35">
      <c r="A17" s="313" t="s">
        <v>7</v>
      </c>
      <c r="B17" s="310"/>
      <c r="C17" s="310"/>
      <c r="D17" s="310"/>
      <c r="E17" s="310"/>
      <c r="F17" s="310"/>
      <c r="G17" s="310"/>
      <c r="H17" s="310"/>
      <c r="I17" s="310"/>
      <c r="J17" s="310"/>
      <c r="K17" s="310"/>
      <c r="L17" s="310"/>
      <c r="M17" s="310"/>
      <c r="N17" s="310"/>
      <c r="O17" s="310"/>
      <c r="P17" s="310"/>
      <c r="Q17" s="310"/>
      <c r="R17" s="310"/>
      <c r="S17" s="310"/>
      <c r="T17" s="310"/>
      <c r="U17" s="310"/>
      <c r="V17" s="311"/>
      <c r="W17" s="64"/>
    </row>
    <row r="18" spans="1:23" x14ac:dyDescent="0.35">
      <c r="A18" s="233" t="s">
        <v>10</v>
      </c>
      <c r="B18" s="233" t="s">
        <v>11</v>
      </c>
      <c r="C18" s="233" t="s">
        <v>12</v>
      </c>
      <c r="D18" s="233" t="s">
        <v>13</v>
      </c>
      <c r="E18" s="233" t="s">
        <v>14</v>
      </c>
      <c r="F18" s="233" t="s">
        <v>15</v>
      </c>
      <c r="G18" s="233" t="s">
        <v>16</v>
      </c>
      <c r="H18" s="233" t="s">
        <v>17</v>
      </c>
      <c r="I18" s="233" t="s">
        <v>18</v>
      </c>
      <c r="J18" s="233" t="s">
        <v>19</v>
      </c>
      <c r="K18" s="233" t="s">
        <v>20</v>
      </c>
      <c r="L18" s="233" t="s">
        <v>147</v>
      </c>
      <c r="M18" s="233" t="s">
        <v>148</v>
      </c>
      <c r="N18" s="59" t="s">
        <v>149</v>
      </c>
      <c r="O18" s="59" t="s">
        <v>150</v>
      </c>
      <c r="P18" s="59" t="s">
        <v>151</v>
      </c>
      <c r="Q18" s="233" t="s">
        <v>152</v>
      </c>
      <c r="R18" s="233" t="s">
        <v>153</v>
      </c>
      <c r="S18" s="233" t="s">
        <v>154</v>
      </c>
      <c r="T18" s="233" t="s">
        <v>155</v>
      </c>
      <c r="U18" s="233" t="s">
        <v>156</v>
      </c>
      <c r="V18" s="233" t="s">
        <v>157</v>
      </c>
      <c r="W18" s="116"/>
    </row>
    <row r="19" spans="1:23" x14ac:dyDescent="0.3">
      <c r="A19" s="245" t="s">
        <v>158</v>
      </c>
      <c r="B19" s="241" t="s">
        <v>159</v>
      </c>
      <c r="C19" s="241">
        <v>0</v>
      </c>
      <c r="D19" s="246" t="s">
        <v>187</v>
      </c>
      <c r="E19" s="246" t="s">
        <v>187</v>
      </c>
      <c r="F19" s="246"/>
      <c r="G19" s="151" t="s">
        <v>29</v>
      </c>
      <c r="H19" s="246" t="s">
        <v>161</v>
      </c>
      <c r="I19" s="246"/>
      <c r="J19" s="246"/>
      <c r="K19" s="65">
        <v>36892</v>
      </c>
      <c r="L19" s="60" t="s">
        <v>162</v>
      </c>
      <c r="M19" s="65" t="s">
        <v>45</v>
      </c>
      <c r="N19" s="238" t="s">
        <v>163</v>
      </c>
      <c r="O19" s="238" t="s">
        <v>25</v>
      </c>
      <c r="P19" s="238" t="s">
        <v>164</v>
      </c>
      <c r="Q19" s="117" t="s">
        <v>25</v>
      </c>
      <c r="R19" s="117" t="s">
        <v>45</v>
      </c>
      <c r="S19" s="246" t="s">
        <v>165</v>
      </c>
      <c r="T19" s="238">
        <v>250000</v>
      </c>
      <c r="U19" s="239" t="s">
        <v>25</v>
      </c>
      <c r="V19" s="239">
        <v>0.1</v>
      </c>
      <c r="W19" s="118"/>
    </row>
    <row r="20" spans="1:23" x14ac:dyDescent="0.35">
      <c r="A20" s="85"/>
      <c r="B20" s="85"/>
      <c r="C20" s="85"/>
      <c r="D20" s="85"/>
      <c r="E20" s="85"/>
      <c r="F20" s="85"/>
      <c r="G20" s="85"/>
      <c r="H20" s="85"/>
      <c r="I20" s="85"/>
      <c r="J20" s="85"/>
      <c r="K20" s="85"/>
      <c r="L20" s="85"/>
      <c r="M20" s="85"/>
      <c r="N20" s="85"/>
      <c r="O20" s="85"/>
      <c r="P20" s="85"/>
      <c r="Q20" s="85"/>
      <c r="R20" s="85"/>
      <c r="S20" s="85"/>
      <c r="T20" s="85"/>
      <c r="U20" s="85"/>
      <c r="V20" s="85"/>
      <c r="W20" s="64"/>
    </row>
    <row r="21" spans="1:23" ht="14.65" customHeight="1" x14ac:dyDescent="0.35">
      <c r="A21" s="313" t="s">
        <v>36</v>
      </c>
      <c r="B21" s="310"/>
      <c r="C21" s="310"/>
      <c r="D21" s="310"/>
      <c r="E21" s="310"/>
      <c r="F21" s="310"/>
      <c r="G21" s="310"/>
      <c r="H21" s="310"/>
      <c r="I21" s="310"/>
      <c r="J21" s="310"/>
      <c r="K21" s="310"/>
      <c r="L21" s="310"/>
      <c r="M21" s="310"/>
      <c r="N21" s="310"/>
      <c r="O21" s="311"/>
      <c r="P21" s="85"/>
      <c r="Q21" s="85"/>
      <c r="R21" s="85"/>
      <c r="S21" s="85"/>
      <c r="T21" s="85"/>
      <c r="U21" s="85"/>
      <c r="V21" s="85"/>
      <c r="W21" s="64"/>
    </row>
    <row r="22" spans="1:23" x14ac:dyDescent="0.35">
      <c r="A22" s="95" t="s">
        <v>13</v>
      </c>
      <c r="B22" s="95" t="s">
        <v>14</v>
      </c>
      <c r="C22" s="95" t="s">
        <v>15</v>
      </c>
      <c r="D22" s="95" t="s">
        <v>16</v>
      </c>
      <c r="E22" s="95" t="s">
        <v>166</v>
      </c>
      <c r="F22" s="95" t="s">
        <v>167</v>
      </c>
      <c r="G22" s="95" t="s">
        <v>168</v>
      </c>
      <c r="H22" s="95" t="s">
        <v>169</v>
      </c>
      <c r="I22" s="95" t="s">
        <v>170</v>
      </c>
      <c r="J22" s="95" t="s">
        <v>171</v>
      </c>
      <c r="K22" s="95" t="s">
        <v>172</v>
      </c>
      <c r="L22" s="95" t="s">
        <v>173</v>
      </c>
      <c r="M22" s="95" t="s">
        <v>174</v>
      </c>
      <c r="N22" s="95" t="s">
        <v>175</v>
      </c>
      <c r="O22" s="233" t="s">
        <v>176</v>
      </c>
      <c r="P22" s="85"/>
      <c r="Q22" s="85"/>
      <c r="R22" s="85"/>
      <c r="S22" s="85"/>
      <c r="T22" s="85"/>
      <c r="U22" s="85"/>
      <c r="V22" s="85"/>
      <c r="W22" s="64"/>
    </row>
    <row r="23" spans="1:23" x14ac:dyDescent="0.3">
      <c r="A23" s="246">
        <v>0</v>
      </c>
      <c r="B23" s="141" t="s">
        <v>188</v>
      </c>
      <c r="C23" s="141" t="s">
        <v>188</v>
      </c>
      <c r="D23" s="151" t="s">
        <v>29</v>
      </c>
      <c r="E23" s="239" t="s">
        <v>25</v>
      </c>
      <c r="F23" s="239">
        <v>0</v>
      </c>
      <c r="G23" s="236">
        <v>60</v>
      </c>
      <c r="H23" s="246" t="s">
        <v>178</v>
      </c>
      <c r="I23" s="239" t="s">
        <v>179</v>
      </c>
      <c r="J23" s="244">
        <v>3</v>
      </c>
      <c r="K23" s="244">
        <v>10</v>
      </c>
      <c r="L23" s="246">
        <v>1000</v>
      </c>
      <c r="M23" s="246">
        <v>1000</v>
      </c>
      <c r="N23" s="246">
        <v>1000</v>
      </c>
      <c r="O23" s="246"/>
      <c r="P23" s="85"/>
      <c r="Q23" s="85"/>
      <c r="R23" s="85"/>
      <c r="S23" s="85"/>
      <c r="T23" s="85"/>
      <c r="U23" s="85"/>
      <c r="V23" s="85"/>
      <c r="W23" s="64"/>
    </row>
    <row r="24" spans="1:23" x14ac:dyDescent="0.3">
      <c r="A24" s="246">
        <v>1</v>
      </c>
      <c r="B24" s="141" t="s">
        <v>189</v>
      </c>
      <c r="C24" s="141" t="s">
        <v>189</v>
      </c>
      <c r="D24" s="151" t="s">
        <v>29</v>
      </c>
      <c r="E24" s="239" t="s">
        <v>25</v>
      </c>
      <c r="F24" s="239">
        <v>0</v>
      </c>
      <c r="G24" s="236">
        <v>30</v>
      </c>
      <c r="H24" s="246" t="s">
        <v>178</v>
      </c>
      <c r="I24" s="239" t="s">
        <v>179</v>
      </c>
      <c r="J24" s="244">
        <v>3</v>
      </c>
      <c r="K24" s="244">
        <v>10</v>
      </c>
      <c r="L24" s="246">
        <v>1000</v>
      </c>
      <c r="M24" s="246">
        <v>1000</v>
      </c>
      <c r="N24" s="246">
        <v>1000</v>
      </c>
      <c r="O24" s="246"/>
      <c r="P24" s="85"/>
      <c r="Q24" s="85"/>
      <c r="R24" s="85"/>
      <c r="S24" s="85"/>
      <c r="T24" s="85"/>
      <c r="U24" s="85"/>
      <c r="V24" s="85"/>
      <c r="W24" s="64"/>
    </row>
    <row r="25" spans="1:23" x14ac:dyDescent="0.3">
      <c r="A25" s="246">
        <v>2</v>
      </c>
      <c r="B25" s="141" t="s">
        <v>190</v>
      </c>
      <c r="C25" s="141" t="s">
        <v>190</v>
      </c>
      <c r="D25" s="151" t="s">
        <v>29</v>
      </c>
      <c r="E25" s="239" t="s">
        <v>25</v>
      </c>
      <c r="F25" s="239">
        <v>0</v>
      </c>
      <c r="G25" s="236">
        <v>60</v>
      </c>
      <c r="H25" s="246" t="s">
        <v>178</v>
      </c>
      <c r="I25" s="239" t="s">
        <v>179</v>
      </c>
      <c r="J25" s="244">
        <v>3</v>
      </c>
      <c r="K25" s="244">
        <v>10</v>
      </c>
      <c r="L25" s="246">
        <v>1000</v>
      </c>
      <c r="M25" s="246">
        <v>1000</v>
      </c>
      <c r="N25" s="246">
        <v>1000</v>
      </c>
      <c r="O25" s="246"/>
      <c r="P25" s="85"/>
      <c r="Q25" s="85"/>
      <c r="R25" s="85"/>
      <c r="S25" s="85"/>
      <c r="T25" s="85"/>
      <c r="U25" s="85"/>
      <c r="V25" s="85"/>
      <c r="W25" s="64"/>
    </row>
    <row r="26" spans="1:23" x14ac:dyDescent="0.3">
      <c r="A26" s="246">
        <v>3</v>
      </c>
      <c r="B26" s="141" t="s">
        <v>191</v>
      </c>
      <c r="C26" s="141" t="s">
        <v>191</v>
      </c>
      <c r="D26" s="151" t="s">
        <v>29</v>
      </c>
      <c r="E26" s="239" t="s">
        <v>25</v>
      </c>
      <c r="F26" s="239">
        <v>0</v>
      </c>
      <c r="G26" s="236">
        <v>30</v>
      </c>
      <c r="H26" s="246" t="s">
        <v>178</v>
      </c>
      <c r="I26" s="239" t="s">
        <v>179</v>
      </c>
      <c r="J26" s="244">
        <v>3</v>
      </c>
      <c r="K26" s="244">
        <v>100</v>
      </c>
      <c r="L26" s="246">
        <v>1000</v>
      </c>
      <c r="M26" s="246">
        <v>1000</v>
      </c>
      <c r="N26" s="246">
        <v>1000</v>
      </c>
      <c r="O26" s="246"/>
      <c r="P26" s="85"/>
      <c r="Q26" s="85"/>
      <c r="R26" s="85"/>
      <c r="S26" s="85"/>
      <c r="T26" s="85"/>
      <c r="U26" s="85"/>
      <c r="V26" s="85"/>
      <c r="W26" s="64"/>
    </row>
    <row r="27" spans="1:23" x14ac:dyDescent="0.3">
      <c r="A27" s="246">
        <v>4</v>
      </c>
      <c r="B27" s="141" t="s">
        <v>192</v>
      </c>
      <c r="C27" s="141" t="s">
        <v>192</v>
      </c>
      <c r="D27" s="151" t="s">
        <v>29</v>
      </c>
      <c r="E27" s="239" t="s">
        <v>25</v>
      </c>
      <c r="F27" s="239">
        <v>0</v>
      </c>
      <c r="G27" s="236">
        <v>30</v>
      </c>
      <c r="H27" s="246" t="s">
        <v>178</v>
      </c>
      <c r="I27" s="239" t="s">
        <v>179</v>
      </c>
      <c r="J27" s="244">
        <v>3</v>
      </c>
      <c r="K27" s="244">
        <v>50</v>
      </c>
      <c r="L27" s="246">
        <v>1000</v>
      </c>
      <c r="M27" s="246">
        <v>1000</v>
      </c>
      <c r="N27" s="246">
        <v>1000</v>
      </c>
      <c r="O27" s="246"/>
      <c r="P27" s="85"/>
      <c r="Q27" s="85"/>
      <c r="R27" s="85"/>
      <c r="S27" s="85"/>
      <c r="T27" s="85"/>
      <c r="U27" s="85"/>
      <c r="V27" s="85"/>
      <c r="W27" s="64"/>
    </row>
    <row r="28" spans="1:23" x14ac:dyDescent="0.3">
      <c r="A28" s="246">
        <v>5</v>
      </c>
      <c r="B28" s="141" t="s">
        <v>193</v>
      </c>
      <c r="C28" s="141" t="s">
        <v>193</v>
      </c>
      <c r="D28" s="151" t="s">
        <v>29</v>
      </c>
      <c r="E28" s="239" t="s">
        <v>25</v>
      </c>
      <c r="F28" s="239">
        <v>0</v>
      </c>
      <c r="G28" s="236">
        <v>60</v>
      </c>
      <c r="H28" s="246" t="s">
        <v>178</v>
      </c>
      <c r="I28" s="239" t="s">
        <v>179</v>
      </c>
      <c r="J28" s="244">
        <v>1</v>
      </c>
      <c r="K28" s="244">
        <v>5</v>
      </c>
      <c r="L28" s="246">
        <v>1000</v>
      </c>
      <c r="M28" s="246">
        <v>1000</v>
      </c>
      <c r="N28" s="246">
        <v>1000</v>
      </c>
      <c r="O28" s="246"/>
      <c r="P28" s="85"/>
      <c r="Q28" s="85"/>
      <c r="R28" s="85"/>
      <c r="S28" s="85"/>
      <c r="T28" s="85"/>
      <c r="U28" s="85"/>
      <c r="V28" s="85"/>
      <c r="W28" s="64"/>
    </row>
    <row r="29" spans="1:23" x14ac:dyDescent="0.3">
      <c r="A29" s="246">
        <v>6</v>
      </c>
      <c r="B29" s="141" t="s">
        <v>194</v>
      </c>
      <c r="C29" s="141" t="s">
        <v>194</v>
      </c>
      <c r="D29" s="151" t="s">
        <v>29</v>
      </c>
      <c r="E29" s="239" t="s">
        <v>25</v>
      </c>
      <c r="F29" s="239">
        <v>0</v>
      </c>
      <c r="G29" s="236">
        <v>60</v>
      </c>
      <c r="H29" s="246" t="s">
        <v>178</v>
      </c>
      <c r="I29" s="239" t="s">
        <v>179</v>
      </c>
      <c r="J29" s="244">
        <v>1</v>
      </c>
      <c r="K29" s="244">
        <v>5</v>
      </c>
      <c r="L29" s="246">
        <v>1000</v>
      </c>
      <c r="M29" s="246">
        <v>1000</v>
      </c>
      <c r="N29" s="246">
        <v>1000</v>
      </c>
      <c r="O29" s="246"/>
      <c r="P29" s="85"/>
      <c r="Q29" s="85"/>
      <c r="R29" s="85"/>
      <c r="S29" s="85"/>
      <c r="T29" s="85"/>
      <c r="U29" s="85"/>
      <c r="V29" s="85"/>
      <c r="W29" s="64"/>
    </row>
    <row r="30" spans="1:23" x14ac:dyDescent="0.3">
      <c r="A30" s="246">
        <v>7</v>
      </c>
      <c r="B30" s="141" t="s">
        <v>195</v>
      </c>
      <c r="C30" s="141" t="s">
        <v>195</v>
      </c>
      <c r="D30" s="151" t="s">
        <v>29</v>
      </c>
      <c r="E30" s="239" t="s">
        <v>25</v>
      </c>
      <c r="F30" s="239">
        <v>0</v>
      </c>
      <c r="G30" s="236">
        <v>60</v>
      </c>
      <c r="H30" s="246" t="s">
        <v>178</v>
      </c>
      <c r="I30" s="239" t="s">
        <v>179</v>
      </c>
      <c r="J30" s="244">
        <v>1</v>
      </c>
      <c r="K30" s="244">
        <v>5</v>
      </c>
      <c r="L30" s="246">
        <v>1000</v>
      </c>
      <c r="M30" s="246">
        <v>1000</v>
      </c>
      <c r="N30" s="246">
        <v>1000</v>
      </c>
      <c r="O30" s="246"/>
      <c r="P30" s="85"/>
      <c r="Q30" s="85"/>
      <c r="R30" s="85"/>
      <c r="S30" s="85"/>
      <c r="T30" s="85"/>
      <c r="U30" s="85"/>
      <c r="V30" s="85"/>
      <c r="W30" s="64"/>
    </row>
    <row r="31" spans="1:23" ht="13.4" customHeight="1" thickBot="1" x14ac:dyDescent="0.35">
      <c r="A31" s="66"/>
      <c r="B31" s="66"/>
      <c r="C31" s="66"/>
      <c r="D31" s="66"/>
      <c r="E31" s="66"/>
      <c r="F31" s="66"/>
      <c r="G31" s="140"/>
      <c r="H31" s="66"/>
      <c r="I31" s="66"/>
      <c r="J31" s="66"/>
      <c r="K31" s="66"/>
      <c r="L31" s="66"/>
      <c r="M31" s="66"/>
      <c r="N31" s="66"/>
      <c r="O31" s="66"/>
      <c r="P31" s="66"/>
      <c r="Q31" s="66"/>
      <c r="R31" s="66"/>
      <c r="S31" s="66"/>
      <c r="T31" s="66"/>
      <c r="U31" s="66"/>
      <c r="V31" s="66"/>
      <c r="W31" s="67"/>
    </row>
    <row r="32" spans="1:23" ht="13.4" customHeight="1" thickTop="1" x14ac:dyDescent="0.35">
      <c r="A32" s="69"/>
      <c r="B32" s="69"/>
      <c r="C32" s="69"/>
      <c r="D32" s="69"/>
      <c r="E32" s="69"/>
      <c r="F32" s="69"/>
      <c r="G32" s="69"/>
      <c r="H32" s="69"/>
      <c r="I32" s="69"/>
      <c r="J32" s="69"/>
      <c r="K32" s="69"/>
      <c r="L32" s="69"/>
      <c r="M32" s="69"/>
      <c r="N32" s="69"/>
      <c r="O32" s="69"/>
      <c r="P32" s="69"/>
      <c r="Q32" s="69"/>
      <c r="R32" s="69"/>
      <c r="S32" s="69"/>
      <c r="T32" s="69"/>
      <c r="U32" s="69"/>
      <c r="V32" s="69"/>
      <c r="W32" s="61"/>
    </row>
    <row r="33" spans="1:23" ht="14.65" customHeight="1" x14ac:dyDescent="0.35">
      <c r="A33" s="312" t="s">
        <v>7</v>
      </c>
      <c r="B33" s="310"/>
      <c r="C33" s="310"/>
      <c r="D33" s="310"/>
      <c r="E33" s="310"/>
      <c r="F33" s="310"/>
      <c r="G33" s="310"/>
      <c r="H33" s="310"/>
      <c r="I33" s="310"/>
      <c r="J33" s="310"/>
      <c r="K33" s="310"/>
      <c r="L33" s="310"/>
      <c r="M33" s="310"/>
      <c r="N33" s="310"/>
      <c r="O33" s="310"/>
      <c r="P33" s="310"/>
      <c r="Q33" s="310"/>
      <c r="R33" s="310"/>
      <c r="S33" s="310"/>
      <c r="T33" s="310"/>
      <c r="U33" s="310"/>
      <c r="V33" s="311"/>
      <c r="W33" s="61"/>
    </row>
    <row r="34" spans="1:23" x14ac:dyDescent="0.35">
      <c r="A34" s="59" t="s">
        <v>10</v>
      </c>
      <c r="B34" s="59" t="s">
        <v>11</v>
      </c>
      <c r="C34" s="59" t="s">
        <v>12</v>
      </c>
      <c r="D34" s="59" t="s">
        <v>13</v>
      </c>
      <c r="E34" s="59" t="s">
        <v>14</v>
      </c>
      <c r="F34" s="59" t="s">
        <v>15</v>
      </c>
      <c r="G34" s="59" t="s">
        <v>16</v>
      </c>
      <c r="H34" s="59" t="s">
        <v>17</v>
      </c>
      <c r="I34" s="59" t="s">
        <v>18</v>
      </c>
      <c r="J34" s="59" t="s">
        <v>19</v>
      </c>
      <c r="K34" s="59" t="s">
        <v>20</v>
      </c>
      <c r="L34" s="59" t="s">
        <v>147</v>
      </c>
      <c r="M34" s="59" t="s">
        <v>148</v>
      </c>
      <c r="N34" s="59" t="s">
        <v>149</v>
      </c>
      <c r="O34" s="59" t="s">
        <v>150</v>
      </c>
      <c r="P34" s="59" t="s">
        <v>151</v>
      </c>
      <c r="Q34" s="59" t="s">
        <v>152</v>
      </c>
      <c r="R34" s="59" t="s">
        <v>153</v>
      </c>
      <c r="S34" s="59" t="s">
        <v>154</v>
      </c>
      <c r="T34" s="59" t="s">
        <v>155</v>
      </c>
      <c r="U34" s="59" t="s">
        <v>156</v>
      </c>
      <c r="V34" s="59" t="s">
        <v>157</v>
      </c>
      <c r="W34" s="111"/>
    </row>
    <row r="35" spans="1:23" x14ac:dyDescent="0.3">
      <c r="A35" s="245" t="s">
        <v>158</v>
      </c>
      <c r="B35" s="240" t="s">
        <v>159</v>
      </c>
      <c r="C35" s="240">
        <v>0</v>
      </c>
      <c r="D35" s="245" t="s">
        <v>196</v>
      </c>
      <c r="E35" s="245" t="s">
        <v>196</v>
      </c>
      <c r="F35" s="245"/>
      <c r="G35" s="151" t="s">
        <v>29</v>
      </c>
      <c r="H35" s="245" t="s">
        <v>161</v>
      </c>
      <c r="I35" s="245"/>
      <c r="J35" s="245"/>
      <c r="K35" s="60">
        <v>36892</v>
      </c>
      <c r="L35" s="60" t="s">
        <v>162</v>
      </c>
      <c r="M35" s="60" t="s">
        <v>45</v>
      </c>
      <c r="N35" s="238" t="s">
        <v>163</v>
      </c>
      <c r="O35" s="238" t="s">
        <v>25</v>
      </c>
      <c r="P35" s="238" t="s">
        <v>164</v>
      </c>
      <c r="Q35" s="113" t="s">
        <v>25</v>
      </c>
      <c r="R35" s="113" t="s">
        <v>45</v>
      </c>
      <c r="S35" s="245" t="s">
        <v>165</v>
      </c>
      <c r="T35" s="238">
        <v>250000</v>
      </c>
      <c r="U35" s="238">
        <f>10/60</f>
        <v>0.16666666666666666</v>
      </c>
      <c r="V35" s="238">
        <v>0.1</v>
      </c>
      <c r="W35" s="114"/>
    </row>
    <row r="36" spans="1:23" x14ac:dyDescent="0.35">
      <c r="A36" s="74"/>
      <c r="B36" s="74"/>
      <c r="C36" s="74"/>
      <c r="D36" s="74"/>
      <c r="E36" s="74"/>
      <c r="F36" s="74"/>
      <c r="G36" s="74"/>
      <c r="H36" s="74"/>
      <c r="I36" s="74"/>
      <c r="J36" s="74"/>
      <c r="K36" s="74"/>
      <c r="L36" s="74"/>
      <c r="M36" s="74"/>
      <c r="N36" s="74"/>
      <c r="O36" s="74"/>
      <c r="P36" s="74"/>
      <c r="Q36" s="74"/>
      <c r="R36" s="74"/>
      <c r="S36" s="74"/>
      <c r="T36" s="74"/>
      <c r="U36" s="74"/>
      <c r="V36" s="74"/>
      <c r="W36" s="61"/>
    </row>
    <row r="37" spans="1:23" ht="14.65" customHeight="1" x14ac:dyDescent="0.35">
      <c r="A37" s="312" t="s">
        <v>36</v>
      </c>
      <c r="B37" s="310"/>
      <c r="C37" s="310"/>
      <c r="D37" s="310"/>
      <c r="E37" s="310"/>
      <c r="F37" s="310"/>
      <c r="G37" s="310"/>
      <c r="H37" s="310"/>
      <c r="I37" s="310"/>
      <c r="J37" s="310"/>
      <c r="K37" s="310"/>
      <c r="L37" s="310"/>
      <c r="M37" s="310"/>
      <c r="N37" s="310"/>
      <c r="O37" s="311"/>
      <c r="P37" s="74"/>
      <c r="Q37" s="74"/>
      <c r="R37" s="74"/>
      <c r="S37" s="74"/>
      <c r="T37" s="74"/>
      <c r="U37" s="74"/>
      <c r="V37" s="74"/>
      <c r="W37" s="61"/>
    </row>
    <row r="38" spans="1:23" x14ac:dyDescent="0.35">
      <c r="A38" s="59" t="s">
        <v>13</v>
      </c>
      <c r="B38" s="59" t="s">
        <v>14</v>
      </c>
      <c r="C38" s="59" t="s">
        <v>15</v>
      </c>
      <c r="D38" s="59" t="s">
        <v>16</v>
      </c>
      <c r="E38" s="59" t="s">
        <v>166</v>
      </c>
      <c r="F38" s="59" t="s">
        <v>167</v>
      </c>
      <c r="G38" s="59" t="s">
        <v>168</v>
      </c>
      <c r="H38" s="59" t="s">
        <v>169</v>
      </c>
      <c r="I38" s="59" t="s">
        <v>170</v>
      </c>
      <c r="J38" s="59" t="s">
        <v>171</v>
      </c>
      <c r="K38" s="59" t="s">
        <v>172</v>
      </c>
      <c r="L38" s="59" t="s">
        <v>173</v>
      </c>
      <c r="M38" s="59" t="s">
        <v>174</v>
      </c>
      <c r="N38" s="59" t="s">
        <v>175</v>
      </c>
      <c r="O38" s="59" t="s">
        <v>176</v>
      </c>
      <c r="P38" s="74"/>
      <c r="Q38" s="74"/>
      <c r="R38" s="74"/>
      <c r="S38" s="74"/>
      <c r="T38" s="74"/>
      <c r="U38" s="74"/>
      <c r="V38" s="74"/>
      <c r="W38" s="61"/>
    </row>
    <row r="39" spans="1:23" x14ac:dyDescent="0.3">
      <c r="A39" s="245">
        <v>0</v>
      </c>
      <c r="B39" s="141" t="s">
        <v>197</v>
      </c>
      <c r="C39" s="141" t="s">
        <v>197</v>
      </c>
      <c r="D39" s="151" t="s">
        <v>29</v>
      </c>
      <c r="E39" s="238" t="s">
        <v>25</v>
      </c>
      <c r="F39" s="238">
        <v>0</v>
      </c>
      <c r="G39" s="236">
        <v>60</v>
      </c>
      <c r="H39" s="245" t="s">
        <v>178</v>
      </c>
      <c r="I39" s="238" t="s">
        <v>179</v>
      </c>
      <c r="J39" s="243">
        <v>1</v>
      </c>
      <c r="K39" s="243">
        <v>5</v>
      </c>
      <c r="L39" s="245">
        <v>1000</v>
      </c>
      <c r="M39" s="245">
        <v>1000</v>
      </c>
      <c r="N39" s="245">
        <v>1000</v>
      </c>
      <c r="O39" s="245"/>
      <c r="P39" s="74"/>
      <c r="Q39" s="74"/>
      <c r="R39" s="74"/>
      <c r="S39" s="74"/>
      <c r="T39" s="74"/>
      <c r="U39" s="74"/>
      <c r="V39" s="74"/>
      <c r="W39" s="61"/>
    </row>
    <row r="40" spans="1:23" x14ac:dyDescent="0.3">
      <c r="A40" s="245">
        <v>1</v>
      </c>
      <c r="B40" s="141" t="s">
        <v>198</v>
      </c>
      <c r="C40" s="141" t="s">
        <v>198</v>
      </c>
      <c r="D40" s="151" t="s">
        <v>29</v>
      </c>
      <c r="E40" s="238" t="s">
        <v>25</v>
      </c>
      <c r="F40" s="238">
        <v>0</v>
      </c>
      <c r="G40" s="236">
        <v>30</v>
      </c>
      <c r="H40" s="245" t="s">
        <v>178</v>
      </c>
      <c r="I40" s="238" t="s">
        <v>179</v>
      </c>
      <c r="J40" s="243">
        <v>1</v>
      </c>
      <c r="K40" s="243">
        <v>5</v>
      </c>
      <c r="L40" s="245">
        <v>1000</v>
      </c>
      <c r="M40" s="245">
        <v>1000</v>
      </c>
      <c r="N40" s="245">
        <v>1000</v>
      </c>
      <c r="O40" s="245"/>
      <c r="P40" s="74"/>
      <c r="Q40" s="74"/>
      <c r="R40" s="74"/>
      <c r="S40" s="74"/>
      <c r="T40" s="74"/>
      <c r="U40" s="74"/>
      <c r="V40" s="74"/>
      <c r="W40" s="61"/>
    </row>
    <row r="41" spans="1:23" x14ac:dyDescent="0.3">
      <c r="A41" s="245">
        <v>2</v>
      </c>
      <c r="B41" s="141" t="s">
        <v>199</v>
      </c>
      <c r="C41" s="141" t="s">
        <v>199</v>
      </c>
      <c r="D41" s="151" t="s">
        <v>29</v>
      </c>
      <c r="E41" s="238" t="s">
        <v>25</v>
      </c>
      <c r="F41" s="238">
        <v>0</v>
      </c>
      <c r="G41" s="236">
        <v>60</v>
      </c>
      <c r="H41" s="245" t="s">
        <v>178</v>
      </c>
      <c r="I41" s="238" t="s">
        <v>179</v>
      </c>
      <c r="J41" s="243">
        <v>1</v>
      </c>
      <c r="K41" s="243">
        <v>5</v>
      </c>
      <c r="L41" s="245">
        <v>1000</v>
      </c>
      <c r="M41" s="245">
        <v>1000</v>
      </c>
      <c r="N41" s="245">
        <v>1000</v>
      </c>
      <c r="O41" s="245"/>
      <c r="P41" s="74"/>
      <c r="Q41" s="74"/>
      <c r="R41" s="74"/>
      <c r="S41" s="74"/>
      <c r="T41" s="74"/>
      <c r="U41" s="74"/>
      <c r="V41" s="74"/>
      <c r="W41" s="61"/>
    </row>
    <row r="42" spans="1:23" x14ac:dyDescent="0.3">
      <c r="A42" s="245">
        <v>3</v>
      </c>
      <c r="B42" s="141" t="s">
        <v>200</v>
      </c>
      <c r="C42" s="141" t="s">
        <v>200</v>
      </c>
      <c r="D42" s="151" t="s">
        <v>29</v>
      </c>
      <c r="E42" s="238" t="s">
        <v>25</v>
      </c>
      <c r="F42" s="238">
        <v>0</v>
      </c>
      <c r="G42" s="236">
        <v>30</v>
      </c>
      <c r="H42" s="245" t="s">
        <v>178</v>
      </c>
      <c r="I42" s="238" t="s">
        <v>179</v>
      </c>
      <c r="J42" s="243">
        <v>1</v>
      </c>
      <c r="K42" s="243">
        <v>5</v>
      </c>
      <c r="L42" s="245">
        <v>1000</v>
      </c>
      <c r="M42" s="245">
        <v>1000</v>
      </c>
      <c r="N42" s="245">
        <v>1000</v>
      </c>
      <c r="O42" s="245"/>
      <c r="P42" s="74"/>
      <c r="Q42" s="74"/>
      <c r="R42" s="74"/>
      <c r="S42" s="74"/>
      <c r="T42" s="74"/>
      <c r="U42" s="74"/>
      <c r="V42" s="74"/>
      <c r="W42" s="61"/>
    </row>
    <row r="43" spans="1:23" x14ac:dyDescent="0.3">
      <c r="A43" s="245">
        <v>4</v>
      </c>
      <c r="B43" s="141" t="s">
        <v>201</v>
      </c>
      <c r="C43" s="141" t="s">
        <v>201</v>
      </c>
      <c r="D43" s="151" t="s">
        <v>29</v>
      </c>
      <c r="E43" s="238" t="s">
        <v>25</v>
      </c>
      <c r="F43" s="238">
        <v>0</v>
      </c>
      <c r="G43" s="236">
        <v>30</v>
      </c>
      <c r="H43" s="245" t="s">
        <v>178</v>
      </c>
      <c r="I43" s="238" t="s">
        <v>179</v>
      </c>
      <c r="J43" s="243">
        <v>1</v>
      </c>
      <c r="K43" s="243">
        <v>5</v>
      </c>
      <c r="L43" s="245">
        <v>1000</v>
      </c>
      <c r="M43" s="245">
        <v>1000</v>
      </c>
      <c r="N43" s="245">
        <v>1000</v>
      </c>
      <c r="O43" s="245"/>
      <c r="P43" s="74"/>
      <c r="Q43" s="74"/>
      <c r="R43" s="74"/>
      <c r="S43" s="74"/>
      <c r="T43" s="74"/>
      <c r="U43" s="74"/>
      <c r="V43" s="74"/>
      <c r="W43" s="61"/>
    </row>
    <row r="44" spans="1:23" x14ac:dyDescent="0.3">
      <c r="A44" s="245">
        <v>5</v>
      </c>
      <c r="B44" s="141" t="s">
        <v>202</v>
      </c>
      <c r="C44" s="141" t="s">
        <v>202</v>
      </c>
      <c r="D44" s="151" t="s">
        <v>29</v>
      </c>
      <c r="E44" s="238" t="s">
        <v>25</v>
      </c>
      <c r="F44" s="238">
        <v>0</v>
      </c>
      <c r="G44" s="236">
        <v>60</v>
      </c>
      <c r="H44" s="245" t="s">
        <v>178</v>
      </c>
      <c r="I44" s="238" t="s">
        <v>179</v>
      </c>
      <c r="J44" s="243">
        <v>1</v>
      </c>
      <c r="K44" s="243">
        <v>5</v>
      </c>
      <c r="L44" s="245">
        <v>1000</v>
      </c>
      <c r="M44" s="245">
        <v>1000</v>
      </c>
      <c r="N44" s="245">
        <v>1000</v>
      </c>
      <c r="O44" s="245"/>
      <c r="P44" s="74"/>
      <c r="Q44" s="74"/>
      <c r="R44" s="74"/>
      <c r="S44" s="74"/>
      <c r="T44" s="74"/>
      <c r="U44" s="74"/>
      <c r="V44" s="74"/>
      <c r="W44" s="61"/>
    </row>
    <row r="45" spans="1:23" x14ac:dyDescent="0.3">
      <c r="A45" s="245">
        <v>6</v>
      </c>
      <c r="B45" s="141" t="s">
        <v>203</v>
      </c>
      <c r="C45" s="141" t="s">
        <v>203</v>
      </c>
      <c r="D45" s="151" t="s">
        <v>29</v>
      </c>
      <c r="E45" s="238" t="s">
        <v>25</v>
      </c>
      <c r="F45" s="238">
        <v>0</v>
      </c>
      <c r="G45" s="236">
        <v>60</v>
      </c>
      <c r="H45" s="245" t="s">
        <v>178</v>
      </c>
      <c r="I45" s="238" t="s">
        <v>179</v>
      </c>
      <c r="J45" s="243">
        <v>1</v>
      </c>
      <c r="K45" s="243">
        <v>5</v>
      </c>
      <c r="L45" s="245">
        <v>1000</v>
      </c>
      <c r="M45" s="245">
        <v>1000</v>
      </c>
      <c r="N45" s="245">
        <v>1000</v>
      </c>
      <c r="O45" s="245"/>
      <c r="P45" s="74"/>
      <c r="Q45" s="74"/>
      <c r="R45" s="74"/>
      <c r="S45" s="74"/>
      <c r="T45" s="74"/>
      <c r="U45" s="74"/>
      <c r="V45" s="74"/>
      <c r="W45" s="61"/>
    </row>
    <row r="46" spans="1:23" x14ac:dyDescent="0.3">
      <c r="A46" s="245">
        <v>7</v>
      </c>
      <c r="B46" s="141" t="s">
        <v>204</v>
      </c>
      <c r="C46" s="141" t="s">
        <v>204</v>
      </c>
      <c r="D46" s="151" t="s">
        <v>29</v>
      </c>
      <c r="E46" s="238" t="s">
        <v>25</v>
      </c>
      <c r="F46" s="238">
        <v>0</v>
      </c>
      <c r="G46" s="236">
        <v>60</v>
      </c>
      <c r="H46" s="245" t="s">
        <v>178</v>
      </c>
      <c r="I46" s="238" t="s">
        <v>179</v>
      </c>
      <c r="J46" s="243">
        <v>1</v>
      </c>
      <c r="K46" s="243">
        <v>5</v>
      </c>
      <c r="L46" s="245">
        <v>1000</v>
      </c>
      <c r="M46" s="245">
        <v>1000</v>
      </c>
      <c r="N46" s="245">
        <v>1000</v>
      </c>
      <c r="O46" s="245"/>
      <c r="P46" s="74"/>
      <c r="Q46" s="74"/>
      <c r="R46" s="74"/>
      <c r="S46" s="74"/>
      <c r="T46" s="74"/>
      <c r="U46" s="74"/>
      <c r="V46" s="74"/>
      <c r="W46" s="61"/>
    </row>
    <row r="47" spans="1:23" ht="13.4" customHeight="1" thickBot="1" x14ac:dyDescent="0.4">
      <c r="A47" s="62"/>
      <c r="B47" s="62"/>
      <c r="C47" s="62"/>
      <c r="D47" s="62"/>
      <c r="E47" s="62"/>
      <c r="F47" s="62"/>
      <c r="G47" s="62"/>
      <c r="H47" s="62"/>
      <c r="I47" s="62"/>
      <c r="J47" s="62"/>
      <c r="K47" s="62"/>
      <c r="L47" s="62"/>
      <c r="M47" s="62"/>
      <c r="N47" s="62"/>
      <c r="O47" s="62"/>
      <c r="P47" s="62"/>
      <c r="Q47" s="62"/>
      <c r="R47" s="62"/>
      <c r="S47" s="62"/>
      <c r="T47" s="62"/>
      <c r="U47" s="62"/>
      <c r="V47" s="62"/>
      <c r="W47" s="63"/>
    </row>
    <row r="48" spans="1:23" ht="13.4" customHeight="1" thickTop="1" x14ac:dyDescent="0.35">
      <c r="A48" s="68"/>
      <c r="B48" s="68"/>
      <c r="C48" s="68"/>
      <c r="D48" s="68"/>
      <c r="E48" s="68"/>
      <c r="F48" s="68"/>
      <c r="G48" s="68"/>
      <c r="H48" s="68"/>
      <c r="I48" s="68"/>
      <c r="J48" s="68"/>
      <c r="K48" s="68"/>
      <c r="L48" s="68"/>
      <c r="M48" s="68"/>
      <c r="N48" s="68"/>
      <c r="O48" s="68"/>
      <c r="P48" s="68"/>
      <c r="Q48" s="68"/>
      <c r="R48" s="68"/>
      <c r="S48" s="68"/>
      <c r="T48" s="68"/>
      <c r="U48" s="68"/>
      <c r="V48" s="68"/>
      <c r="W48" s="64"/>
    </row>
    <row r="49" spans="1:23" ht="14.65" customHeight="1" x14ac:dyDescent="0.35">
      <c r="A49" s="313" t="s">
        <v>7</v>
      </c>
      <c r="B49" s="310"/>
      <c r="C49" s="310"/>
      <c r="D49" s="310"/>
      <c r="E49" s="310"/>
      <c r="F49" s="310"/>
      <c r="G49" s="310"/>
      <c r="H49" s="310"/>
      <c r="I49" s="310"/>
      <c r="J49" s="310"/>
      <c r="K49" s="310"/>
      <c r="L49" s="310"/>
      <c r="M49" s="310"/>
      <c r="N49" s="310"/>
      <c r="O49" s="310"/>
      <c r="P49" s="310"/>
      <c r="Q49" s="310"/>
      <c r="R49" s="310"/>
      <c r="S49" s="310"/>
      <c r="T49" s="310"/>
      <c r="U49" s="310"/>
      <c r="V49" s="311"/>
      <c r="W49" s="64"/>
    </row>
    <row r="50" spans="1:23" x14ac:dyDescent="0.35">
      <c r="A50" s="233" t="s">
        <v>10</v>
      </c>
      <c r="B50" s="233" t="s">
        <v>11</v>
      </c>
      <c r="C50" s="233" t="s">
        <v>12</v>
      </c>
      <c r="D50" s="233" t="s">
        <v>13</v>
      </c>
      <c r="E50" s="233" t="s">
        <v>14</v>
      </c>
      <c r="F50" s="233" t="s">
        <v>15</v>
      </c>
      <c r="G50" s="233" t="s">
        <v>16</v>
      </c>
      <c r="H50" s="233" t="s">
        <v>17</v>
      </c>
      <c r="I50" s="233" t="s">
        <v>18</v>
      </c>
      <c r="J50" s="233" t="s">
        <v>19</v>
      </c>
      <c r="K50" s="233" t="s">
        <v>20</v>
      </c>
      <c r="L50" s="233" t="s">
        <v>147</v>
      </c>
      <c r="M50" s="233" t="s">
        <v>148</v>
      </c>
      <c r="N50" s="59" t="s">
        <v>149</v>
      </c>
      <c r="O50" s="59" t="s">
        <v>150</v>
      </c>
      <c r="P50" s="59" t="s">
        <v>151</v>
      </c>
      <c r="Q50" s="233" t="s">
        <v>152</v>
      </c>
      <c r="R50" s="233" t="s">
        <v>153</v>
      </c>
      <c r="S50" s="233" t="s">
        <v>154</v>
      </c>
      <c r="T50" s="233" t="s">
        <v>155</v>
      </c>
      <c r="U50" s="233" t="s">
        <v>156</v>
      </c>
      <c r="V50" s="233" t="s">
        <v>157</v>
      </c>
      <c r="W50" s="116"/>
    </row>
    <row r="51" spans="1:23" x14ac:dyDescent="0.3">
      <c r="A51" s="245" t="s">
        <v>158</v>
      </c>
      <c r="B51" s="241" t="s">
        <v>159</v>
      </c>
      <c r="C51" s="241">
        <v>0</v>
      </c>
      <c r="D51" s="246" t="s">
        <v>205</v>
      </c>
      <c r="E51" s="246" t="s">
        <v>205</v>
      </c>
      <c r="F51" s="246"/>
      <c r="G51" s="151" t="s">
        <v>29</v>
      </c>
      <c r="H51" s="246" t="s">
        <v>161</v>
      </c>
      <c r="I51" s="246"/>
      <c r="J51" s="246"/>
      <c r="K51" s="65">
        <v>36892</v>
      </c>
      <c r="L51" s="60" t="s">
        <v>162</v>
      </c>
      <c r="M51" s="65" t="s">
        <v>45</v>
      </c>
      <c r="N51" s="238" t="s">
        <v>163</v>
      </c>
      <c r="O51" s="238" t="s">
        <v>25</v>
      </c>
      <c r="P51" s="238" t="s">
        <v>164</v>
      </c>
      <c r="Q51" s="117" t="s">
        <v>25</v>
      </c>
      <c r="R51" s="117" t="s">
        <v>45</v>
      </c>
      <c r="S51" s="246" t="s">
        <v>165</v>
      </c>
      <c r="T51" s="238">
        <v>250000</v>
      </c>
      <c r="U51" s="239" t="s">
        <v>25</v>
      </c>
      <c r="V51" s="239" t="s">
        <v>25</v>
      </c>
      <c r="W51" s="118"/>
    </row>
    <row r="52" spans="1:23" x14ac:dyDescent="0.35">
      <c r="A52" s="85"/>
      <c r="B52" s="85"/>
      <c r="C52" s="85"/>
      <c r="D52" s="85"/>
      <c r="E52" s="85"/>
      <c r="F52" s="85"/>
      <c r="G52" s="85"/>
      <c r="H52" s="85"/>
      <c r="I52" s="85"/>
      <c r="J52" s="85"/>
      <c r="K52" s="85"/>
      <c r="L52" s="85"/>
      <c r="M52" s="85"/>
      <c r="N52" s="85"/>
      <c r="O52" s="85"/>
      <c r="P52" s="85"/>
      <c r="Q52" s="85"/>
      <c r="R52" s="85"/>
      <c r="S52" s="85"/>
      <c r="T52" s="85"/>
      <c r="U52" s="85"/>
      <c r="V52" s="85"/>
      <c r="W52" s="64"/>
    </row>
    <row r="53" spans="1:23" ht="14.65" customHeight="1" x14ac:dyDescent="0.35">
      <c r="A53" s="313" t="s">
        <v>36</v>
      </c>
      <c r="B53" s="310"/>
      <c r="C53" s="310"/>
      <c r="D53" s="310"/>
      <c r="E53" s="310"/>
      <c r="F53" s="310"/>
      <c r="G53" s="310"/>
      <c r="H53" s="310"/>
      <c r="I53" s="310"/>
      <c r="J53" s="310"/>
      <c r="K53" s="310"/>
      <c r="L53" s="310"/>
      <c r="M53" s="310"/>
      <c r="N53" s="310"/>
      <c r="O53" s="311"/>
      <c r="P53" s="85"/>
      <c r="Q53" s="85"/>
      <c r="R53" s="85"/>
      <c r="S53" s="85"/>
      <c r="T53" s="85"/>
      <c r="U53" s="85"/>
      <c r="V53" s="85"/>
      <c r="W53" s="64"/>
    </row>
    <row r="54" spans="1:23" x14ac:dyDescent="0.35">
      <c r="A54" s="233" t="s">
        <v>13</v>
      </c>
      <c r="B54" s="233" t="s">
        <v>14</v>
      </c>
      <c r="C54" s="233" t="s">
        <v>15</v>
      </c>
      <c r="D54" s="233" t="s">
        <v>16</v>
      </c>
      <c r="E54" s="233" t="s">
        <v>166</v>
      </c>
      <c r="F54" s="233" t="s">
        <v>167</v>
      </c>
      <c r="G54" s="233" t="s">
        <v>168</v>
      </c>
      <c r="H54" s="233" t="s">
        <v>169</v>
      </c>
      <c r="I54" s="233" t="s">
        <v>170</v>
      </c>
      <c r="J54" s="233" t="s">
        <v>171</v>
      </c>
      <c r="K54" s="233" t="s">
        <v>172</v>
      </c>
      <c r="L54" s="233" t="s">
        <v>173</v>
      </c>
      <c r="M54" s="233" t="s">
        <v>174</v>
      </c>
      <c r="N54" s="233" t="s">
        <v>175</v>
      </c>
      <c r="O54" s="233" t="s">
        <v>176</v>
      </c>
      <c r="P54" s="85"/>
      <c r="Q54" s="85"/>
      <c r="R54" s="85"/>
      <c r="S54" s="85"/>
      <c r="T54" s="85"/>
      <c r="U54" s="85"/>
      <c r="V54" s="85"/>
      <c r="W54" s="64"/>
    </row>
    <row r="55" spans="1:23" x14ac:dyDescent="0.3">
      <c r="A55" s="246">
        <v>0</v>
      </c>
      <c r="B55" s="141" t="s">
        <v>206</v>
      </c>
      <c r="C55" s="141" t="s">
        <v>206</v>
      </c>
      <c r="D55" s="151" t="s">
        <v>29</v>
      </c>
      <c r="E55" s="239" t="s">
        <v>25</v>
      </c>
      <c r="F55" s="239">
        <v>0</v>
      </c>
      <c r="G55" s="237">
        <v>60</v>
      </c>
      <c r="H55" s="246" t="s">
        <v>178</v>
      </c>
      <c r="I55" s="239" t="s">
        <v>179</v>
      </c>
      <c r="J55" s="244">
        <v>1</v>
      </c>
      <c r="K55" s="244">
        <v>5</v>
      </c>
      <c r="L55" s="246">
        <v>1000</v>
      </c>
      <c r="M55" s="246">
        <v>1000</v>
      </c>
      <c r="N55" s="246">
        <v>1000</v>
      </c>
      <c r="O55" s="246"/>
      <c r="P55" s="85"/>
      <c r="Q55" s="85"/>
      <c r="R55" s="85"/>
      <c r="S55" s="85"/>
      <c r="T55" s="85"/>
      <c r="U55" s="85"/>
      <c r="V55" s="85"/>
      <c r="W55" s="64"/>
    </row>
    <row r="56" spans="1:23" x14ac:dyDescent="0.3">
      <c r="A56" s="246">
        <v>1</v>
      </c>
      <c r="B56" s="141" t="s">
        <v>207</v>
      </c>
      <c r="C56" s="141" t="s">
        <v>207</v>
      </c>
      <c r="D56" s="151" t="s">
        <v>29</v>
      </c>
      <c r="E56" s="239" t="s">
        <v>25</v>
      </c>
      <c r="F56" s="239">
        <v>0</v>
      </c>
      <c r="G56" s="237">
        <v>60</v>
      </c>
      <c r="H56" s="246" t="s">
        <v>178</v>
      </c>
      <c r="I56" s="239" t="s">
        <v>179</v>
      </c>
      <c r="J56" s="244">
        <v>1</v>
      </c>
      <c r="K56" s="244">
        <v>5</v>
      </c>
      <c r="L56" s="246">
        <v>1000</v>
      </c>
      <c r="M56" s="246">
        <v>1000</v>
      </c>
      <c r="N56" s="246">
        <v>1000</v>
      </c>
      <c r="O56" s="246"/>
      <c r="P56" s="85"/>
      <c r="Q56" s="85"/>
      <c r="R56" s="85"/>
      <c r="S56" s="85"/>
      <c r="T56" s="85"/>
      <c r="U56" s="85"/>
      <c r="V56" s="85"/>
      <c r="W56" s="64"/>
    </row>
    <row r="57" spans="1:23" x14ac:dyDescent="0.3">
      <c r="A57" s="246">
        <v>2</v>
      </c>
      <c r="B57" s="141" t="s">
        <v>208</v>
      </c>
      <c r="C57" s="141" t="s">
        <v>208</v>
      </c>
      <c r="D57" s="151" t="s">
        <v>29</v>
      </c>
      <c r="E57" s="239" t="s">
        <v>25</v>
      </c>
      <c r="F57" s="239">
        <v>0</v>
      </c>
      <c r="G57" s="237">
        <v>60</v>
      </c>
      <c r="H57" s="246" t="s">
        <v>178</v>
      </c>
      <c r="I57" s="239" t="s">
        <v>179</v>
      </c>
      <c r="J57" s="244">
        <v>1</v>
      </c>
      <c r="K57" s="244">
        <v>5</v>
      </c>
      <c r="L57" s="246">
        <v>1000</v>
      </c>
      <c r="M57" s="246">
        <v>1000</v>
      </c>
      <c r="N57" s="246">
        <v>1000</v>
      </c>
      <c r="O57" s="246"/>
      <c r="P57" s="85"/>
      <c r="Q57" s="85"/>
      <c r="R57" s="85"/>
      <c r="S57" s="85"/>
      <c r="T57" s="85"/>
      <c r="U57" s="85"/>
      <c r="V57" s="85"/>
      <c r="W57" s="64"/>
    </row>
    <row r="58" spans="1:23" x14ac:dyDescent="0.3">
      <c r="A58" s="246">
        <v>3</v>
      </c>
      <c r="B58" s="141" t="s">
        <v>209</v>
      </c>
      <c r="C58" s="141" t="s">
        <v>209</v>
      </c>
      <c r="D58" s="151" t="s">
        <v>29</v>
      </c>
      <c r="E58" s="239" t="s">
        <v>25</v>
      </c>
      <c r="F58" s="239">
        <v>0</v>
      </c>
      <c r="G58" s="237">
        <v>30</v>
      </c>
      <c r="H58" s="246" t="s">
        <v>178</v>
      </c>
      <c r="I58" s="239" t="s">
        <v>179</v>
      </c>
      <c r="J58" s="244">
        <v>1</v>
      </c>
      <c r="K58" s="244">
        <v>5</v>
      </c>
      <c r="L58" s="246">
        <v>1000</v>
      </c>
      <c r="M58" s="246">
        <v>1000</v>
      </c>
      <c r="N58" s="246">
        <v>1000</v>
      </c>
      <c r="O58" s="246"/>
      <c r="P58" s="85"/>
      <c r="Q58" s="85"/>
      <c r="R58" s="85"/>
      <c r="S58" s="85"/>
      <c r="T58" s="85"/>
      <c r="U58" s="85"/>
      <c r="V58" s="85"/>
      <c r="W58" s="64"/>
    </row>
    <row r="59" spans="1:23" x14ac:dyDescent="0.3">
      <c r="A59" s="246">
        <v>4</v>
      </c>
      <c r="B59" s="141" t="s">
        <v>210</v>
      </c>
      <c r="C59" s="141" t="s">
        <v>210</v>
      </c>
      <c r="D59" s="151" t="s">
        <v>29</v>
      </c>
      <c r="E59" s="239" t="s">
        <v>25</v>
      </c>
      <c r="F59" s="239">
        <v>0</v>
      </c>
      <c r="G59" s="237">
        <v>60</v>
      </c>
      <c r="H59" s="246" t="s">
        <v>178</v>
      </c>
      <c r="I59" s="239" t="s">
        <v>179</v>
      </c>
      <c r="J59" s="244">
        <v>1</v>
      </c>
      <c r="K59" s="244">
        <v>5</v>
      </c>
      <c r="L59" s="246">
        <v>1000</v>
      </c>
      <c r="M59" s="246">
        <v>1000</v>
      </c>
      <c r="N59" s="246">
        <v>1000</v>
      </c>
      <c r="O59" s="246"/>
      <c r="P59" s="85"/>
      <c r="Q59" s="85"/>
      <c r="R59" s="85"/>
      <c r="S59" s="85"/>
      <c r="T59" s="85"/>
      <c r="U59" s="85"/>
      <c r="V59" s="85"/>
      <c r="W59" s="64"/>
    </row>
    <row r="60" spans="1:23" x14ac:dyDescent="0.3">
      <c r="A60" s="246">
        <v>5</v>
      </c>
      <c r="B60" s="141" t="s">
        <v>211</v>
      </c>
      <c r="C60" s="141" t="s">
        <v>211</v>
      </c>
      <c r="D60" s="151" t="s">
        <v>29</v>
      </c>
      <c r="E60" s="239" t="s">
        <v>25</v>
      </c>
      <c r="F60" s="239">
        <v>0</v>
      </c>
      <c r="G60" s="237">
        <v>60</v>
      </c>
      <c r="H60" s="246" t="s">
        <v>178</v>
      </c>
      <c r="I60" s="239" t="s">
        <v>179</v>
      </c>
      <c r="J60" s="244">
        <v>1</v>
      </c>
      <c r="K60" s="244">
        <v>10</v>
      </c>
      <c r="L60" s="246">
        <v>1000</v>
      </c>
      <c r="M60" s="246">
        <v>1000</v>
      </c>
      <c r="N60" s="246">
        <v>1000</v>
      </c>
      <c r="O60" s="246"/>
      <c r="P60" s="85"/>
      <c r="Q60" s="85"/>
      <c r="R60" s="85"/>
      <c r="S60" s="85"/>
      <c r="T60" s="85"/>
      <c r="U60" s="85"/>
      <c r="V60" s="85"/>
      <c r="W60" s="64"/>
    </row>
    <row r="61" spans="1:23" x14ac:dyDescent="0.3">
      <c r="A61" s="246">
        <v>6</v>
      </c>
      <c r="B61" s="141" t="s">
        <v>212</v>
      </c>
      <c r="C61" s="141" t="s">
        <v>212</v>
      </c>
      <c r="D61" s="151" t="s">
        <v>29</v>
      </c>
      <c r="E61" s="239" t="s">
        <v>25</v>
      </c>
      <c r="F61" s="239">
        <v>0</v>
      </c>
      <c r="G61" s="237">
        <v>60</v>
      </c>
      <c r="H61" s="246" t="s">
        <v>178</v>
      </c>
      <c r="I61" s="239" t="s">
        <v>179</v>
      </c>
      <c r="J61" s="244">
        <v>1</v>
      </c>
      <c r="K61" s="244">
        <v>10</v>
      </c>
      <c r="L61" s="246">
        <v>1000</v>
      </c>
      <c r="M61" s="246">
        <v>1000</v>
      </c>
      <c r="N61" s="246">
        <v>1000</v>
      </c>
      <c r="O61" s="246"/>
      <c r="P61" s="85"/>
      <c r="Q61" s="85"/>
      <c r="R61" s="85"/>
      <c r="S61" s="85"/>
      <c r="T61" s="85"/>
      <c r="U61" s="85"/>
      <c r="V61" s="85"/>
      <c r="W61" s="64"/>
    </row>
    <row r="62" spans="1:23" x14ac:dyDescent="0.3">
      <c r="A62" s="246">
        <v>7</v>
      </c>
      <c r="B62" s="141" t="s">
        <v>213</v>
      </c>
      <c r="C62" s="141" t="s">
        <v>213</v>
      </c>
      <c r="D62" s="151" t="s">
        <v>29</v>
      </c>
      <c r="E62" s="239" t="s">
        <v>25</v>
      </c>
      <c r="F62" s="239">
        <v>0</v>
      </c>
      <c r="G62" s="246">
        <v>30</v>
      </c>
      <c r="H62" s="246" t="s">
        <v>178</v>
      </c>
      <c r="I62" s="239" t="s">
        <v>179</v>
      </c>
      <c r="J62" s="244">
        <v>1</v>
      </c>
      <c r="K62" s="244">
        <v>5</v>
      </c>
      <c r="L62" s="246">
        <v>1000</v>
      </c>
      <c r="M62" s="246">
        <v>1000</v>
      </c>
      <c r="N62" s="246">
        <v>1000</v>
      </c>
      <c r="O62" s="246"/>
      <c r="P62" s="85"/>
      <c r="Q62" s="85"/>
      <c r="R62" s="85"/>
      <c r="S62" s="85"/>
      <c r="T62" s="85"/>
      <c r="U62" s="85"/>
      <c r="V62" s="85"/>
      <c r="W62" s="64"/>
    </row>
    <row r="63" spans="1:23" ht="13.4" customHeight="1" thickBot="1" x14ac:dyDescent="0.4">
      <c r="A63" s="66"/>
      <c r="B63" s="66"/>
      <c r="C63" s="66"/>
      <c r="D63" s="66"/>
      <c r="E63" s="66"/>
      <c r="F63" s="66"/>
      <c r="G63" s="66"/>
      <c r="H63" s="66"/>
      <c r="I63" s="66"/>
      <c r="J63" s="66"/>
      <c r="K63" s="66"/>
      <c r="L63" s="66"/>
      <c r="M63" s="66"/>
      <c r="N63" s="66"/>
      <c r="O63" s="66"/>
      <c r="P63" s="66"/>
      <c r="Q63" s="66"/>
      <c r="R63" s="66"/>
      <c r="S63" s="66"/>
      <c r="T63" s="66"/>
      <c r="U63" s="66"/>
      <c r="V63" s="66"/>
      <c r="W63" s="67"/>
    </row>
    <row r="64" spans="1:23" ht="13.4" customHeight="1" thickTop="1" x14ac:dyDescent="0.35">
      <c r="A64" s="69"/>
      <c r="B64" s="69"/>
      <c r="C64" s="69"/>
      <c r="D64" s="69"/>
      <c r="E64" s="69"/>
      <c r="F64" s="69"/>
      <c r="G64" s="69"/>
      <c r="H64" s="69"/>
      <c r="I64" s="69"/>
      <c r="J64" s="69"/>
      <c r="K64" s="69"/>
      <c r="L64" s="69"/>
      <c r="M64" s="69"/>
      <c r="N64" s="69"/>
      <c r="O64" s="69"/>
      <c r="P64" s="69"/>
      <c r="Q64" s="69"/>
      <c r="R64" s="69"/>
      <c r="S64" s="69"/>
      <c r="T64" s="69"/>
      <c r="U64" s="69"/>
      <c r="V64" s="69"/>
      <c r="W64" s="61"/>
    </row>
    <row r="65" spans="1:23" ht="14.65" customHeight="1" x14ac:dyDescent="0.35">
      <c r="A65" s="312" t="s">
        <v>7</v>
      </c>
      <c r="B65" s="310"/>
      <c r="C65" s="310"/>
      <c r="D65" s="310"/>
      <c r="E65" s="310"/>
      <c r="F65" s="310"/>
      <c r="G65" s="310"/>
      <c r="H65" s="310"/>
      <c r="I65" s="310"/>
      <c r="J65" s="310"/>
      <c r="K65" s="310"/>
      <c r="L65" s="310"/>
      <c r="M65" s="310"/>
      <c r="N65" s="310"/>
      <c r="O65" s="310"/>
      <c r="P65" s="310"/>
      <c r="Q65" s="310"/>
      <c r="R65" s="310"/>
      <c r="S65" s="310"/>
      <c r="T65" s="310"/>
      <c r="U65" s="310"/>
      <c r="V65" s="311"/>
      <c r="W65" s="61"/>
    </row>
    <row r="66" spans="1:23" x14ac:dyDescent="0.35">
      <c r="A66" s="59" t="s">
        <v>10</v>
      </c>
      <c r="B66" s="59" t="s">
        <v>11</v>
      </c>
      <c r="C66" s="59" t="s">
        <v>12</v>
      </c>
      <c r="D66" s="59" t="s">
        <v>13</v>
      </c>
      <c r="E66" s="59" t="s">
        <v>14</v>
      </c>
      <c r="F66" s="59" t="s">
        <v>15</v>
      </c>
      <c r="G66" s="59" t="s">
        <v>16</v>
      </c>
      <c r="H66" s="59" t="s">
        <v>17</v>
      </c>
      <c r="I66" s="59" t="s">
        <v>18</v>
      </c>
      <c r="J66" s="59" t="s">
        <v>19</v>
      </c>
      <c r="K66" s="59" t="s">
        <v>20</v>
      </c>
      <c r="L66" s="59" t="s">
        <v>147</v>
      </c>
      <c r="M66" s="59" t="s">
        <v>148</v>
      </c>
      <c r="N66" s="59" t="s">
        <v>149</v>
      </c>
      <c r="O66" s="59" t="s">
        <v>150</v>
      </c>
      <c r="P66" s="59" t="s">
        <v>151</v>
      </c>
      <c r="Q66" s="59" t="s">
        <v>152</v>
      </c>
      <c r="R66" s="59" t="s">
        <v>153</v>
      </c>
      <c r="S66" s="59" t="s">
        <v>154</v>
      </c>
      <c r="T66" s="59" t="s">
        <v>155</v>
      </c>
      <c r="U66" s="59" t="s">
        <v>156</v>
      </c>
      <c r="V66" s="59" t="s">
        <v>157</v>
      </c>
      <c r="W66" s="111"/>
    </row>
    <row r="67" spans="1:23" x14ac:dyDescent="0.3">
      <c r="A67" s="245" t="s">
        <v>158</v>
      </c>
      <c r="B67" s="240" t="s">
        <v>159</v>
      </c>
      <c r="C67" s="240">
        <v>0</v>
      </c>
      <c r="D67" s="245" t="s">
        <v>214</v>
      </c>
      <c r="E67" s="245" t="s">
        <v>214</v>
      </c>
      <c r="F67" s="245"/>
      <c r="G67" s="151" t="s">
        <v>29</v>
      </c>
      <c r="H67" s="245" t="s">
        <v>161</v>
      </c>
      <c r="I67" s="245"/>
      <c r="J67" s="245"/>
      <c r="K67" s="60">
        <v>36892</v>
      </c>
      <c r="L67" s="60" t="s">
        <v>162</v>
      </c>
      <c r="M67" s="60" t="s">
        <v>45</v>
      </c>
      <c r="N67" s="238" t="s">
        <v>163</v>
      </c>
      <c r="O67" s="238" t="s">
        <v>25</v>
      </c>
      <c r="P67" s="238" t="s">
        <v>164</v>
      </c>
      <c r="Q67" s="113" t="s">
        <v>25</v>
      </c>
      <c r="R67" s="113" t="s">
        <v>45</v>
      </c>
      <c r="S67" s="245" t="s">
        <v>165</v>
      </c>
      <c r="T67" s="238">
        <v>250000</v>
      </c>
      <c r="U67" s="238" t="s">
        <v>25</v>
      </c>
      <c r="V67" s="238" t="s">
        <v>25</v>
      </c>
      <c r="W67" s="114"/>
    </row>
    <row r="68" spans="1:23" x14ac:dyDescent="0.35">
      <c r="A68" s="74"/>
      <c r="B68" s="74"/>
      <c r="C68" s="74"/>
      <c r="D68" s="74"/>
      <c r="E68" s="74"/>
      <c r="F68" s="74"/>
      <c r="G68" s="74"/>
      <c r="H68" s="74"/>
      <c r="I68" s="74"/>
      <c r="J68" s="74"/>
      <c r="K68" s="74"/>
      <c r="L68" s="74"/>
      <c r="M68" s="74"/>
      <c r="N68" s="74"/>
      <c r="O68" s="74"/>
      <c r="P68" s="74"/>
      <c r="Q68" s="74"/>
      <c r="R68" s="74"/>
      <c r="S68" s="74"/>
      <c r="T68" s="74"/>
      <c r="U68" s="74"/>
      <c r="V68" s="74"/>
      <c r="W68" s="61"/>
    </row>
    <row r="69" spans="1:23" ht="14.65" customHeight="1" x14ac:dyDescent="0.35">
      <c r="A69" s="312" t="s">
        <v>36</v>
      </c>
      <c r="B69" s="310"/>
      <c r="C69" s="310"/>
      <c r="D69" s="310"/>
      <c r="E69" s="310"/>
      <c r="F69" s="310"/>
      <c r="G69" s="310"/>
      <c r="H69" s="310"/>
      <c r="I69" s="310"/>
      <c r="J69" s="310"/>
      <c r="K69" s="310"/>
      <c r="L69" s="310"/>
      <c r="M69" s="310"/>
      <c r="N69" s="310"/>
      <c r="O69" s="311"/>
      <c r="P69" s="74"/>
      <c r="Q69" s="74"/>
      <c r="R69" s="74"/>
      <c r="S69" s="74"/>
      <c r="T69" s="74"/>
      <c r="U69" s="74"/>
      <c r="V69" s="74"/>
      <c r="W69" s="61"/>
    </row>
    <row r="70" spans="1:23" x14ac:dyDescent="0.35">
      <c r="A70" s="59" t="s">
        <v>13</v>
      </c>
      <c r="B70" s="59" t="s">
        <v>14</v>
      </c>
      <c r="C70" s="59" t="s">
        <v>15</v>
      </c>
      <c r="D70" s="59" t="s">
        <v>16</v>
      </c>
      <c r="E70" s="59" t="s">
        <v>166</v>
      </c>
      <c r="F70" s="59" t="s">
        <v>167</v>
      </c>
      <c r="G70" s="59" t="s">
        <v>168</v>
      </c>
      <c r="H70" s="59" t="s">
        <v>169</v>
      </c>
      <c r="I70" s="59" t="s">
        <v>170</v>
      </c>
      <c r="J70" s="59" t="s">
        <v>171</v>
      </c>
      <c r="K70" s="59" t="s">
        <v>172</v>
      </c>
      <c r="L70" s="59" t="s">
        <v>173</v>
      </c>
      <c r="M70" s="59" t="s">
        <v>174</v>
      </c>
      <c r="N70" s="59" t="s">
        <v>175</v>
      </c>
      <c r="O70" s="59" t="s">
        <v>176</v>
      </c>
      <c r="P70" s="74"/>
      <c r="Q70" s="74"/>
      <c r="R70" s="74"/>
      <c r="S70" s="74"/>
      <c r="T70" s="74"/>
      <c r="U70" s="74"/>
      <c r="V70" s="74"/>
      <c r="W70" s="61"/>
    </row>
    <row r="71" spans="1:23" x14ac:dyDescent="0.35">
      <c r="A71" s="245">
        <v>0</v>
      </c>
      <c r="B71" s="153" t="s">
        <v>215</v>
      </c>
      <c r="C71" s="153" t="s">
        <v>215</v>
      </c>
      <c r="D71" s="151" t="s">
        <v>29</v>
      </c>
      <c r="E71" s="238" t="s">
        <v>25</v>
      </c>
      <c r="F71" s="238">
        <v>0</v>
      </c>
      <c r="G71" s="238">
        <v>45</v>
      </c>
      <c r="H71" s="245" t="s">
        <v>178</v>
      </c>
      <c r="I71" s="238" t="s">
        <v>179</v>
      </c>
      <c r="J71" s="243">
        <v>1</v>
      </c>
      <c r="K71" s="243">
        <v>5</v>
      </c>
      <c r="L71" s="245">
        <v>1000</v>
      </c>
      <c r="M71" s="245">
        <v>1000</v>
      </c>
      <c r="N71" s="245">
        <v>1000</v>
      </c>
      <c r="O71" s="245"/>
      <c r="P71" s="74"/>
      <c r="Q71" s="74"/>
      <c r="R71" s="74"/>
      <c r="S71" s="74"/>
      <c r="T71" s="74"/>
      <c r="U71" s="74"/>
      <c r="V71" s="74"/>
      <c r="W71" s="61"/>
    </row>
    <row r="72" spans="1:23" x14ac:dyDescent="0.35">
      <c r="A72" s="245">
        <v>1</v>
      </c>
      <c r="B72" s="153" t="s">
        <v>216</v>
      </c>
      <c r="C72" s="153" t="s">
        <v>216</v>
      </c>
      <c r="D72" s="151" t="s">
        <v>29</v>
      </c>
      <c r="E72" s="238" t="s">
        <v>25</v>
      </c>
      <c r="F72" s="238">
        <v>0</v>
      </c>
      <c r="G72" s="238">
        <v>45</v>
      </c>
      <c r="H72" s="245" t="s">
        <v>178</v>
      </c>
      <c r="I72" s="238" t="s">
        <v>179</v>
      </c>
      <c r="J72" s="243">
        <v>1</v>
      </c>
      <c r="K72" s="243">
        <v>5</v>
      </c>
      <c r="L72" s="245">
        <v>1000</v>
      </c>
      <c r="M72" s="245">
        <v>1000</v>
      </c>
      <c r="N72" s="245">
        <v>1000</v>
      </c>
      <c r="O72" s="245"/>
      <c r="P72" s="74"/>
      <c r="Q72" s="74"/>
      <c r="R72" s="74"/>
      <c r="S72" s="74"/>
      <c r="T72" s="74"/>
      <c r="U72" s="74"/>
      <c r="V72" s="74"/>
      <c r="W72" s="61"/>
    </row>
    <row r="73" spans="1:23" x14ac:dyDescent="0.3">
      <c r="A73" s="245">
        <v>2</v>
      </c>
      <c r="B73" s="154" t="s">
        <v>217</v>
      </c>
      <c r="C73" s="154" t="s">
        <v>217</v>
      </c>
      <c r="D73" s="151" t="s">
        <v>29</v>
      </c>
      <c r="E73" s="238" t="s">
        <v>25</v>
      </c>
      <c r="F73" s="238">
        <v>0</v>
      </c>
      <c r="G73" s="238">
        <v>45</v>
      </c>
      <c r="H73" s="245" t="s">
        <v>178</v>
      </c>
      <c r="I73" s="238" t="s">
        <v>179</v>
      </c>
      <c r="J73" s="243">
        <v>1</v>
      </c>
      <c r="K73" s="243">
        <v>5</v>
      </c>
      <c r="L73" s="245">
        <v>1000</v>
      </c>
      <c r="M73" s="245">
        <v>1000</v>
      </c>
      <c r="N73" s="245">
        <v>1000</v>
      </c>
      <c r="O73" s="245"/>
      <c r="P73" s="74"/>
      <c r="Q73" s="74"/>
      <c r="R73" s="74"/>
      <c r="S73" s="74"/>
      <c r="T73" s="74"/>
      <c r="U73" s="74"/>
      <c r="V73" s="74"/>
      <c r="W73" s="61"/>
    </row>
    <row r="74" spans="1:23" x14ac:dyDescent="0.3">
      <c r="A74" s="245">
        <v>3</v>
      </c>
      <c r="B74" s="141" t="s">
        <v>218</v>
      </c>
      <c r="C74" s="141" t="s">
        <v>218</v>
      </c>
      <c r="D74" s="151" t="s">
        <v>29</v>
      </c>
      <c r="E74" s="238" t="s">
        <v>25</v>
      </c>
      <c r="F74" s="238">
        <v>0</v>
      </c>
      <c r="G74" s="238">
        <v>45</v>
      </c>
      <c r="H74" s="245" t="s">
        <v>178</v>
      </c>
      <c r="I74" s="238" t="s">
        <v>179</v>
      </c>
      <c r="J74" s="243">
        <v>1</v>
      </c>
      <c r="K74" s="243">
        <v>5</v>
      </c>
      <c r="L74" s="245">
        <v>1000</v>
      </c>
      <c r="M74" s="245">
        <v>1000</v>
      </c>
      <c r="N74" s="245">
        <v>1000</v>
      </c>
      <c r="O74" s="245"/>
      <c r="P74" s="74"/>
      <c r="Q74" s="74"/>
      <c r="R74" s="74"/>
      <c r="S74" s="74"/>
      <c r="T74" s="74"/>
      <c r="U74" s="74"/>
      <c r="V74" s="74"/>
      <c r="W74" s="61"/>
    </row>
    <row r="75" spans="1:23" x14ac:dyDescent="0.3">
      <c r="A75" s="245">
        <v>4</v>
      </c>
      <c r="B75" s="141" t="s">
        <v>219</v>
      </c>
      <c r="C75" s="141" t="s">
        <v>219</v>
      </c>
      <c r="D75" s="151" t="s">
        <v>29</v>
      </c>
      <c r="E75" s="238" t="s">
        <v>25</v>
      </c>
      <c r="F75" s="238">
        <v>0</v>
      </c>
      <c r="G75" s="238">
        <v>45</v>
      </c>
      <c r="H75" s="245" t="s">
        <v>178</v>
      </c>
      <c r="I75" s="238" t="s">
        <v>179</v>
      </c>
      <c r="J75" s="243">
        <v>1</v>
      </c>
      <c r="K75" s="243">
        <v>5</v>
      </c>
      <c r="L75" s="245">
        <v>1000</v>
      </c>
      <c r="M75" s="245">
        <v>1000</v>
      </c>
      <c r="N75" s="245">
        <v>1000</v>
      </c>
      <c r="O75" s="245"/>
      <c r="P75" s="74"/>
      <c r="Q75" s="74"/>
      <c r="R75" s="74"/>
      <c r="S75" s="74"/>
      <c r="T75" s="74"/>
      <c r="U75" s="74"/>
      <c r="V75" s="74"/>
      <c r="W75" s="61"/>
    </row>
    <row r="76" spans="1:23" x14ac:dyDescent="0.3">
      <c r="A76" s="245">
        <v>5</v>
      </c>
      <c r="B76" s="141" t="s">
        <v>220</v>
      </c>
      <c r="C76" s="141" t="s">
        <v>220</v>
      </c>
      <c r="D76" s="151" t="s">
        <v>29</v>
      </c>
      <c r="E76" s="238" t="s">
        <v>25</v>
      </c>
      <c r="F76" s="238">
        <v>0</v>
      </c>
      <c r="G76" s="238">
        <v>45</v>
      </c>
      <c r="H76" s="245" t="s">
        <v>178</v>
      </c>
      <c r="I76" s="238" t="s">
        <v>179</v>
      </c>
      <c r="J76" s="243">
        <v>1</v>
      </c>
      <c r="K76" s="243">
        <v>5</v>
      </c>
      <c r="L76" s="245">
        <v>1000</v>
      </c>
      <c r="M76" s="245">
        <v>1000</v>
      </c>
      <c r="N76" s="245">
        <v>1000</v>
      </c>
      <c r="O76" s="245"/>
      <c r="P76" s="74"/>
      <c r="Q76" s="74"/>
      <c r="R76" s="74"/>
      <c r="S76" s="74"/>
      <c r="T76" s="74"/>
      <c r="U76" s="74"/>
      <c r="V76" s="74"/>
      <c r="W76" s="61"/>
    </row>
    <row r="77" spans="1:23" x14ac:dyDescent="0.3">
      <c r="A77" s="245">
        <v>6</v>
      </c>
      <c r="B77" s="141" t="s">
        <v>221</v>
      </c>
      <c r="C77" s="141" t="s">
        <v>221</v>
      </c>
      <c r="D77" s="151" t="s">
        <v>29</v>
      </c>
      <c r="E77" s="238" t="s">
        <v>25</v>
      </c>
      <c r="F77" s="238">
        <v>0</v>
      </c>
      <c r="G77" s="238">
        <v>45</v>
      </c>
      <c r="H77" s="245" t="s">
        <v>178</v>
      </c>
      <c r="I77" s="238" t="s">
        <v>179</v>
      </c>
      <c r="J77" s="243">
        <v>1</v>
      </c>
      <c r="K77" s="243">
        <v>5</v>
      </c>
      <c r="L77" s="245">
        <v>1000</v>
      </c>
      <c r="M77" s="245">
        <v>1000</v>
      </c>
      <c r="N77" s="245">
        <v>1000</v>
      </c>
      <c r="O77" s="245"/>
      <c r="P77" s="74"/>
      <c r="Q77" s="74"/>
      <c r="R77" s="74"/>
      <c r="S77" s="74"/>
      <c r="T77" s="74"/>
      <c r="U77" s="74"/>
      <c r="V77" s="74"/>
      <c r="W77" s="61"/>
    </row>
    <row r="78" spans="1:23" x14ac:dyDescent="0.3">
      <c r="A78" s="245">
        <v>7</v>
      </c>
      <c r="B78" s="141" t="s">
        <v>222</v>
      </c>
      <c r="C78" s="141" t="s">
        <v>222</v>
      </c>
      <c r="D78" s="151" t="s">
        <v>29</v>
      </c>
      <c r="E78" s="238" t="s">
        <v>25</v>
      </c>
      <c r="F78" s="238">
        <v>0</v>
      </c>
      <c r="G78" s="238">
        <v>45</v>
      </c>
      <c r="H78" s="245" t="s">
        <v>178</v>
      </c>
      <c r="I78" s="238" t="s">
        <v>179</v>
      </c>
      <c r="J78" s="243">
        <v>1</v>
      </c>
      <c r="K78" s="243">
        <v>5</v>
      </c>
      <c r="L78" s="245">
        <v>1000</v>
      </c>
      <c r="M78" s="245">
        <v>1000</v>
      </c>
      <c r="N78" s="245">
        <v>1000</v>
      </c>
      <c r="O78" s="245"/>
      <c r="P78" s="74"/>
      <c r="Q78" s="74"/>
      <c r="R78" s="74"/>
      <c r="S78" s="74"/>
      <c r="T78" s="74"/>
      <c r="U78" s="74"/>
      <c r="V78" s="74"/>
      <c r="W78" s="61"/>
    </row>
    <row r="79" spans="1:23" ht="13.4" customHeight="1" thickBot="1" x14ac:dyDescent="0.4">
      <c r="A79" s="62"/>
      <c r="B79" s="62"/>
      <c r="C79" s="62"/>
      <c r="D79" s="62"/>
      <c r="E79" s="62"/>
      <c r="F79" s="62"/>
      <c r="G79" s="62"/>
      <c r="H79" s="62"/>
      <c r="I79" s="62"/>
      <c r="J79" s="62"/>
      <c r="K79" s="62"/>
      <c r="L79" s="62"/>
      <c r="M79" s="62"/>
      <c r="N79" s="62"/>
      <c r="O79" s="62"/>
      <c r="P79" s="62"/>
      <c r="Q79" s="62"/>
      <c r="R79" s="62"/>
      <c r="S79" s="62"/>
      <c r="T79" s="62"/>
      <c r="U79" s="62"/>
      <c r="V79" s="62"/>
      <c r="W79" s="63"/>
    </row>
    <row r="80" spans="1:23" ht="13.4" customHeight="1" thickTop="1" x14ac:dyDescent="0.35">
      <c r="A80" s="68"/>
      <c r="B80" s="68"/>
      <c r="C80" s="68"/>
      <c r="D80" s="68"/>
      <c r="E80" s="68"/>
      <c r="F80" s="68"/>
      <c r="G80" s="68"/>
      <c r="H80" s="68"/>
      <c r="I80" s="68"/>
      <c r="J80" s="68"/>
      <c r="K80" s="68"/>
      <c r="L80" s="68"/>
      <c r="M80" s="68"/>
      <c r="N80" s="68"/>
      <c r="O80" s="68"/>
      <c r="P80" s="68"/>
      <c r="Q80" s="68"/>
      <c r="R80" s="68"/>
      <c r="S80" s="68"/>
      <c r="T80" s="68"/>
      <c r="U80" s="68"/>
      <c r="V80" s="68"/>
      <c r="W80" s="64"/>
    </row>
    <row r="81" spans="1:23" ht="14.65" customHeight="1" x14ac:dyDescent="0.35">
      <c r="A81" s="313" t="s">
        <v>7</v>
      </c>
      <c r="B81" s="310"/>
      <c r="C81" s="310"/>
      <c r="D81" s="310"/>
      <c r="E81" s="310"/>
      <c r="F81" s="310"/>
      <c r="G81" s="310"/>
      <c r="H81" s="310"/>
      <c r="I81" s="310"/>
      <c r="J81" s="310"/>
      <c r="K81" s="310"/>
      <c r="L81" s="310"/>
      <c r="M81" s="310"/>
      <c r="N81" s="310"/>
      <c r="O81" s="310"/>
      <c r="P81" s="310"/>
      <c r="Q81" s="310"/>
      <c r="R81" s="310"/>
      <c r="S81" s="310"/>
      <c r="T81" s="310"/>
      <c r="U81" s="310"/>
      <c r="V81" s="311"/>
      <c r="W81" s="64"/>
    </row>
    <row r="82" spans="1:23" x14ac:dyDescent="0.35">
      <c r="A82" s="233" t="s">
        <v>10</v>
      </c>
      <c r="B82" s="233" t="s">
        <v>11</v>
      </c>
      <c r="C82" s="233" t="s">
        <v>12</v>
      </c>
      <c r="D82" s="233" t="s">
        <v>13</v>
      </c>
      <c r="E82" s="233" t="s">
        <v>14</v>
      </c>
      <c r="F82" s="233" t="s">
        <v>15</v>
      </c>
      <c r="G82" s="233" t="s">
        <v>16</v>
      </c>
      <c r="H82" s="233" t="s">
        <v>17</v>
      </c>
      <c r="I82" s="233" t="s">
        <v>18</v>
      </c>
      <c r="J82" s="233" t="s">
        <v>19</v>
      </c>
      <c r="K82" s="233" t="s">
        <v>20</v>
      </c>
      <c r="L82" s="233" t="s">
        <v>147</v>
      </c>
      <c r="M82" s="233" t="s">
        <v>148</v>
      </c>
      <c r="N82" s="59" t="s">
        <v>149</v>
      </c>
      <c r="O82" s="59" t="s">
        <v>150</v>
      </c>
      <c r="P82" s="59" t="s">
        <v>151</v>
      </c>
      <c r="Q82" s="233" t="s">
        <v>152</v>
      </c>
      <c r="R82" s="233" t="s">
        <v>153</v>
      </c>
      <c r="S82" s="233" t="s">
        <v>154</v>
      </c>
      <c r="T82" s="233" t="s">
        <v>155</v>
      </c>
      <c r="U82" s="233" t="s">
        <v>156</v>
      </c>
      <c r="V82" s="233" t="s">
        <v>157</v>
      </c>
      <c r="W82" s="116"/>
    </row>
    <row r="83" spans="1:23" x14ac:dyDescent="0.3">
      <c r="A83" s="245" t="s">
        <v>158</v>
      </c>
      <c r="B83" s="241" t="s">
        <v>159</v>
      </c>
      <c r="C83" s="241">
        <v>0</v>
      </c>
      <c r="D83" s="246" t="s">
        <v>223</v>
      </c>
      <c r="E83" s="246" t="s">
        <v>223</v>
      </c>
      <c r="F83" s="246"/>
      <c r="G83" s="151" t="s">
        <v>29</v>
      </c>
      <c r="H83" s="246" t="s">
        <v>161</v>
      </c>
      <c r="I83" s="246"/>
      <c r="J83" s="246"/>
      <c r="K83" s="65">
        <v>36892</v>
      </c>
      <c r="L83" s="60" t="s">
        <v>162</v>
      </c>
      <c r="M83" s="65" t="s">
        <v>45</v>
      </c>
      <c r="N83" s="238" t="s">
        <v>163</v>
      </c>
      <c r="O83" s="238" t="s">
        <v>25</v>
      </c>
      <c r="P83" s="238" t="s">
        <v>164</v>
      </c>
      <c r="Q83" s="117" t="s">
        <v>25</v>
      </c>
      <c r="R83" s="117" t="s">
        <v>45</v>
      </c>
      <c r="S83" s="246" t="s">
        <v>165</v>
      </c>
      <c r="T83" s="238">
        <v>250000</v>
      </c>
      <c r="U83" s="239" t="s">
        <v>25</v>
      </c>
      <c r="V83" s="239" t="s">
        <v>25</v>
      </c>
      <c r="W83" s="118"/>
    </row>
    <row r="84" spans="1:23" x14ac:dyDescent="0.35">
      <c r="A84" s="85"/>
      <c r="B84" s="85"/>
      <c r="C84" s="85"/>
      <c r="D84" s="85"/>
      <c r="E84" s="85"/>
      <c r="F84" s="85"/>
      <c r="G84" s="85"/>
      <c r="H84" s="85"/>
      <c r="I84" s="85"/>
      <c r="J84" s="85"/>
      <c r="K84" s="85"/>
      <c r="L84" s="85"/>
      <c r="M84" s="85"/>
      <c r="N84" s="85"/>
      <c r="O84" s="85"/>
      <c r="P84" s="85"/>
      <c r="Q84" s="85"/>
      <c r="R84" s="85"/>
      <c r="S84" s="85"/>
      <c r="T84" s="85"/>
      <c r="U84" s="85"/>
      <c r="V84" s="85"/>
      <c r="W84" s="64"/>
    </row>
    <row r="85" spans="1:23" ht="14.65" customHeight="1" x14ac:dyDescent="0.35">
      <c r="A85" s="313" t="s">
        <v>36</v>
      </c>
      <c r="B85" s="310"/>
      <c r="C85" s="310"/>
      <c r="D85" s="310"/>
      <c r="E85" s="310"/>
      <c r="F85" s="310"/>
      <c r="G85" s="310"/>
      <c r="H85" s="310"/>
      <c r="I85" s="310"/>
      <c r="J85" s="310"/>
      <c r="K85" s="310"/>
      <c r="L85" s="310"/>
      <c r="M85" s="310"/>
      <c r="N85" s="310"/>
      <c r="O85" s="311"/>
      <c r="P85" s="85"/>
      <c r="Q85" s="85"/>
      <c r="R85" s="85"/>
      <c r="S85" s="85"/>
      <c r="T85" s="85"/>
      <c r="U85" s="85"/>
      <c r="V85" s="85"/>
      <c r="W85" s="64"/>
    </row>
    <row r="86" spans="1:23" x14ac:dyDescent="0.35">
      <c r="A86" s="233" t="s">
        <v>13</v>
      </c>
      <c r="B86" s="233" t="s">
        <v>14</v>
      </c>
      <c r="C86" s="233" t="s">
        <v>15</v>
      </c>
      <c r="D86" s="233" t="s">
        <v>16</v>
      </c>
      <c r="E86" s="233" t="s">
        <v>166</v>
      </c>
      <c r="F86" s="233" t="s">
        <v>167</v>
      </c>
      <c r="G86" s="233" t="s">
        <v>168</v>
      </c>
      <c r="H86" s="233" t="s">
        <v>169</v>
      </c>
      <c r="I86" s="233" t="s">
        <v>170</v>
      </c>
      <c r="J86" s="233" t="s">
        <v>171</v>
      </c>
      <c r="K86" s="233" t="s">
        <v>172</v>
      </c>
      <c r="L86" s="233" t="s">
        <v>173</v>
      </c>
      <c r="M86" s="233" t="s">
        <v>174</v>
      </c>
      <c r="N86" s="233" t="s">
        <v>175</v>
      </c>
      <c r="O86" s="233" t="s">
        <v>176</v>
      </c>
      <c r="P86" s="85"/>
      <c r="Q86" s="85"/>
      <c r="R86" s="85"/>
      <c r="S86" s="85"/>
      <c r="T86" s="85"/>
      <c r="U86" s="85"/>
      <c r="V86" s="85"/>
      <c r="W86" s="64"/>
    </row>
    <row r="87" spans="1:23" x14ac:dyDescent="0.3">
      <c r="A87" s="246">
        <v>0</v>
      </c>
      <c r="B87" s="141" t="s">
        <v>224</v>
      </c>
      <c r="C87" s="141" t="s">
        <v>224</v>
      </c>
      <c r="D87" s="151" t="s">
        <v>29</v>
      </c>
      <c r="E87" s="239" t="s">
        <v>25</v>
      </c>
      <c r="F87" s="239">
        <v>0</v>
      </c>
      <c r="G87" s="238">
        <v>60</v>
      </c>
      <c r="H87" s="246" t="s">
        <v>178</v>
      </c>
      <c r="I87" s="239" t="s">
        <v>179</v>
      </c>
      <c r="J87" s="244">
        <v>10</v>
      </c>
      <c r="K87" s="244">
        <v>50</v>
      </c>
      <c r="L87" s="246">
        <v>1000</v>
      </c>
      <c r="M87" s="246">
        <v>1000</v>
      </c>
      <c r="N87" s="246">
        <v>1000</v>
      </c>
      <c r="O87" s="246"/>
      <c r="P87" s="85"/>
      <c r="Q87" s="85"/>
      <c r="R87" s="85"/>
      <c r="S87" s="85"/>
      <c r="T87" s="85"/>
      <c r="U87" s="85"/>
      <c r="V87" s="85"/>
      <c r="W87" s="64"/>
    </row>
    <row r="88" spans="1:23" x14ac:dyDescent="0.3">
      <c r="A88" s="246">
        <v>1</v>
      </c>
      <c r="B88" s="141" t="s">
        <v>225</v>
      </c>
      <c r="C88" s="141" t="s">
        <v>225</v>
      </c>
      <c r="D88" s="151" t="s">
        <v>29</v>
      </c>
      <c r="E88" s="239" t="s">
        <v>25</v>
      </c>
      <c r="F88" s="239">
        <v>0</v>
      </c>
      <c r="G88" s="238">
        <v>60</v>
      </c>
      <c r="H88" s="246" t="s">
        <v>178</v>
      </c>
      <c r="I88" s="239" t="s">
        <v>179</v>
      </c>
      <c r="J88" s="244">
        <v>10</v>
      </c>
      <c r="K88" s="244">
        <v>100</v>
      </c>
      <c r="L88" s="246">
        <v>1000</v>
      </c>
      <c r="M88" s="246">
        <v>1000</v>
      </c>
      <c r="N88" s="246">
        <v>1000</v>
      </c>
      <c r="O88" s="246"/>
      <c r="P88" s="85"/>
      <c r="Q88" s="85"/>
      <c r="R88" s="85"/>
      <c r="S88" s="85"/>
      <c r="T88" s="85"/>
      <c r="U88" s="85"/>
      <c r="V88" s="85"/>
      <c r="W88" s="64"/>
    </row>
    <row r="89" spans="1:23" x14ac:dyDescent="0.3">
      <c r="A89" s="246">
        <v>2</v>
      </c>
      <c r="B89" s="141" t="s">
        <v>226</v>
      </c>
      <c r="C89" s="141" t="s">
        <v>226</v>
      </c>
      <c r="D89" s="151" t="s">
        <v>29</v>
      </c>
      <c r="E89" s="239" t="s">
        <v>25</v>
      </c>
      <c r="F89" s="239">
        <v>0</v>
      </c>
      <c r="G89" s="238">
        <v>60</v>
      </c>
      <c r="H89" s="246" t="s">
        <v>178</v>
      </c>
      <c r="I89" s="239" t="s">
        <v>179</v>
      </c>
      <c r="J89" s="244">
        <v>1</v>
      </c>
      <c r="K89" s="244">
        <v>5</v>
      </c>
      <c r="L89" s="246">
        <v>1000</v>
      </c>
      <c r="M89" s="246">
        <v>1000</v>
      </c>
      <c r="N89" s="246">
        <v>1000</v>
      </c>
      <c r="O89" s="246"/>
      <c r="P89" s="85"/>
      <c r="Q89" s="85"/>
      <c r="R89" s="85"/>
      <c r="S89" s="85"/>
      <c r="T89" s="85"/>
      <c r="U89" s="85"/>
      <c r="V89" s="85"/>
      <c r="W89" s="64"/>
    </row>
    <row r="90" spans="1:23" x14ac:dyDescent="0.3">
      <c r="A90" s="246">
        <v>3</v>
      </c>
      <c r="B90" s="141" t="s">
        <v>227</v>
      </c>
      <c r="C90" s="141" t="s">
        <v>227</v>
      </c>
      <c r="D90" s="151" t="s">
        <v>29</v>
      </c>
      <c r="E90" s="239" t="s">
        <v>25</v>
      </c>
      <c r="F90" s="239">
        <v>0</v>
      </c>
      <c r="G90" s="238">
        <v>60</v>
      </c>
      <c r="H90" s="246" t="s">
        <v>178</v>
      </c>
      <c r="I90" s="239" t="s">
        <v>179</v>
      </c>
      <c r="J90" s="244">
        <v>1</v>
      </c>
      <c r="K90" s="244">
        <v>5</v>
      </c>
      <c r="L90" s="246">
        <v>1000</v>
      </c>
      <c r="M90" s="246">
        <v>1000</v>
      </c>
      <c r="N90" s="246">
        <v>1000</v>
      </c>
      <c r="O90" s="246"/>
      <c r="P90" s="85"/>
      <c r="Q90" s="85"/>
      <c r="R90" s="85"/>
      <c r="S90" s="85"/>
      <c r="T90" s="85"/>
      <c r="U90" s="85"/>
      <c r="V90" s="85"/>
      <c r="W90" s="64"/>
    </row>
    <row r="91" spans="1:23" x14ac:dyDescent="0.3">
      <c r="A91" s="246">
        <v>4</v>
      </c>
      <c r="B91" s="141" t="s">
        <v>228</v>
      </c>
      <c r="C91" s="141" t="s">
        <v>228</v>
      </c>
      <c r="D91" s="151" t="s">
        <v>29</v>
      </c>
      <c r="E91" s="239" t="s">
        <v>25</v>
      </c>
      <c r="F91" s="239">
        <v>0</v>
      </c>
      <c r="G91" s="238">
        <v>60</v>
      </c>
      <c r="H91" s="246" t="s">
        <v>178</v>
      </c>
      <c r="I91" s="239" t="s">
        <v>179</v>
      </c>
      <c r="J91" s="244">
        <v>1</v>
      </c>
      <c r="K91" s="244">
        <v>5</v>
      </c>
      <c r="L91" s="246">
        <v>1000</v>
      </c>
      <c r="M91" s="246">
        <v>1000</v>
      </c>
      <c r="N91" s="246">
        <v>1000</v>
      </c>
      <c r="O91" s="246"/>
      <c r="P91" s="85"/>
      <c r="Q91" s="85"/>
      <c r="R91" s="85"/>
      <c r="S91" s="85"/>
      <c r="T91" s="85"/>
      <c r="U91" s="85"/>
      <c r="V91" s="85"/>
      <c r="W91" s="64"/>
    </row>
    <row r="92" spans="1:23" x14ac:dyDescent="0.3">
      <c r="A92" s="246">
        <v>5</v>
      </c>
      <c r="B92" s="141" t="s">
        <v>229</v>
      </c>
      <c r="C92" s="141" t="s">
        <v>229</v>
      </c>
      <c r="D92" s="151" t="s">
        <v>29</v>
      </c>
      <c r="E92" s="239" t="s">
        <v>25</v>
      </c>
      <c r="F92" s="239">
        <v>0</v>
      </c>
      <c r="G92" s="238">
        <v>60</v>
      </c>
      <c r="H92" s="246" t="s">
        <v>178</v>
      </c>
      <c r="I92" s="239" t="s">
        <v>179</v>
      </c>
      <c r="J92" s="244">
        <v>1</v>
      </c>
      <c r="K92" s="244">
        <v>5</v>
      </c>
      <c r="L92" s="246">
        <v>1000</v>
      </c>
      <c r="M92" s="246">
        <v>1000</v>
      </c>
      <c r="N92" s="246">
        <v>1000</v>
      </c>
      <c r="O92" s="246"/>
      <c r="P92" s="85"/>
      <c r="Q92" s="85"/>
      <c r="R92" s="85"/>
      <c r="S92" s="85"/>
      <c r="T92" s="85"/>
      <c r="U92" s="85"/>
      <c r="V92" s="85"/>
      <c r="W92" s="64"/>
    </row>
    <row r="93" spans="1:23" x14ac:dyDescent="0.3">
      <c r="A93" s="246">
        <v>6</v>
      </c>
      <c r="B93" s="141" t="s">
        <v>230</v>
      </c>
      <c r="C93" s="141" t="s">
        <v>230</v>
      </c>
      <c r="D93" s="151" t="s">
        <v>29</v>
      </c>
      <c r="E93" s="239" t="s">
        <v>25</v>
      </c>
      <c r="F93" s="239">
        <v>0</v>
      </c>
      <c r="G93" s="238">
        <v>60</v>
      </c>
      <c r="H93" s="246" t="s">
        <v>178</v>
      </c>
      <c r="I93" s="239" t="s">
        <v>179</v>
      </c>
      <c r="J93" s="244">
        <v>1</v>
      </c>
      <c r="K93" s="244">
        <v>5</v>
      </c>
      <c r="L93" s="246">
        <v>1000</v>
      </c>
      <c r="M93" s="246">
        <v>1000</v>
      </c>
      <c r="N93" s="246">
        <v>1000</v>
      </c>
      <c r="O93" s="246"/>
      <c r="P93" s="85"/>
      <c r="Q93" s="85"/>
      <c r="R93" s="85"/>
      <c r="S93" s="85"/>
      <c r="T93" s="85"/>
      <c r="U93" s="85"/>
      <c r="V93" s="85"/>
      <c r="W93" s="64"/>
    </row>
    <row r="94" spans="1:23" x14ac:dyDescent="0.3">
      <c r="A94" s="246">
        <v>7</v>
      </c>
      <c r="B94" s="141" t="s">
        <v>231</v>
      </c>
      <c r="C94" s="141" t="s">
        <v>231</v>
      </c>
      <c r="D94" s="151" t="s">
        <v>29</v>
      </c>
      <c r="E94" s="239" t="s">
        <v>25</v>
      </c>
      <c r="F94" s="239">
        <v>0</v>
      </c>
      <c r="G94" s="238">
        <v>60</v>
      </c>
      <c r="H94" s="246" t="s">
        <v>178</v>
      </c>
      <c r="I94" s="239" t="s">
        <v>179</v>
      </c>
      <c r="J94" s="244">
        <v>1</v>
      </c>
      <c r="K94" s="244">
        <v>5</v>
      </c>
      <c r="L94" s="246">
        <v>1000</v>
      </c>
      <c r="M94" s="246">
        <v>1000</v>
      </c>
      <c r="N94" s="246">
        <v>1000</v>
      </c>
      <c r="O94" s="246"/>
      <c r="P94" s="85"/>
      <c r="Q94" s="85"/>
      <c r="R94" s="85"/>
      <c r="S94" s="85"/>
      <c r="T94" s="85"/>
      <c r="U94" s="85"/>
      <c r="V94" s="85"/>
      <c r="W94" s="64"/>
    </row>
    <row r="95" spans="1:23" ht="13.4" customHeight="1" thickBot="1" x14ac:dyDescent="0.4">
      <c r="A95" s="66"/>
      <c r="B95" s="66"/>
      <c r="C95" s="66"/>
      <c r="D95" s="66"/>
      <c r="E95" s="66"/>
      <c r="F95" s="66"/>
      <c r="G95" s="66"/>
      <c r="H95" s="66"/>
      <c r="I95" s="66"/>
      <c r="J95" s="66"/>
      <c r="K95" s="66"/>
      <c r="L95" s="66"/>
      <c r="M95" s="66"/>
      <c r="N95" s="66"/>
      <c r="O95" s="66"/>
      <c r="P95" s="66"/>
      <c r="Q95" s="66"/>
      <c r="R95" s="66"/>
      <c r="S95" s="66"/>
      <c r="T95" s="66"/>
      <c r="U95" s="66"/>
      <c r="V95" s="66"/>
      <c r="W95" s="67"/>
    </row>
    <row r="96" spans="1:23" ht="13.4" customHeight="1" thickTop="1" x14ac:dyDescent="0.35">
      <c r="A96" s="69"/>
      <c r="B96" s="69"/>
      <c r="C96" s="69"/>
      <c r="D96" s="69"/>
      <c r="E96" s="69"/>
      <c r="F96" s="69"/>
      <c r="G96" s="69"/>
      <c r="H96" s="69"/>
      <c r="I96" s="69"/>
      <c r="J96" s="69"/>
      <c r="K96" s="69"/>
      <c r="L96" s="69"/>
      <c r="M96" s="69"/>
      <c r="N96" s="69"/>
      <c r="O96" s="69"/>
      <c r="P96" s="69"/>
      <c r="Q96" s="69"/>
      <c r="R96" s="69"/>
      <c r="S96" s="69"/>
      <c r="T96" s="69"/>
      <c r="U96" s="69"/>
      <c r="V96" s="69"/>
      <c r="W96" s="61"/>
    </row>
    <row r="97" spans="1:23" ht="14.65" customHeight="1" x14ac:dyDescent="0.35">
      <c r="A97" s="312" t="s">
        <v>7</v>
      </c>
      <c r="B97" s="310"/>
      <c r="C97" s="310"/>
      <c r="D97" s="310"/>
      <c r="E97" s="310"/>
      <c r="F97" s="310"/>
      <c r="G97" s="310"/>
      <c r="H97" s="310"/>
      <c r="I97" s="310"/>
      <c r="J97" s="310"/>
      <c r="K97" s="310"/>
      <c r="L97" s="310"/>
      <c r="M97" s="310"/>
      <c r="N97" s="310"/>
      <c r="O97" s="310"/>
      <c r="P97" s="310"/>
      <c r="Q97" s="310"/>
      <c r="R97" s="310"/>
      <c r="S97" s="310"/>
      <c r="T97" s="310"/>
      <c r="U97" s="310"/>
      <c r="V97" s="311"/>
      <c r="W97" s="61"/>
    </row>
    <row r="98" spans="1:23" x14ac:dyDescent="0.35">
      <c r="A98" s="59" t="s">
        <v>10</v>
      </c>
      <c r="B98" s="59" t="s">
        <v>11</v>
      </c>
      <c r="C98" s="59" t="s">
        <v>12</v>
      </c>
      <c r="D98" s="59" t="s">
        <v>13</v>
      </c>
      <c r="E98" s="59" t="s">
        <v>14</v>
      </c>
      <c r="F98" s="59" t="s">
        <v>15</v>
      </c>
      <c r="G98" s="59" t="s">
        <v>16</v>
      </c>
      <c r="H98" s="59" t="s">
        <v>17</v>
      </c>
      <c r="I98" s="59" t="s">
        <v>18</v>
      </c>
      <c r="J98" s="59" t="s">
        <v>19</v>
      </c>
      <c r="K98" s="59" t="s">
        <v>20</v>
      </c>
      <c r="L98" s="59" t="s">
        <v>147</v>
      </c>
      <c r="M98" s="59" t="s">
        <v>148</v>
      </c>
      <c r="N98" s="59" t="s">
        <v>149</v>
      </c>
      <c r="O98" s="59" t="s">
        <v>150</v>
      </c>
      <c r="P98" s="59" t="s">
        <v>151</v>
      </c>
      <c r="Q98" s="59" t="s">
        <v>152</v>
      </c>
      <c r="R98" s="59" t="s">
        <v>153</v>
      </c>
      <c r="S98" s="59" t="s">
        <v>154</v>
      </c>
      <c r="T98" s="59" t="s">
        <v>155</v>
      </c>
      <c r="U98" s="59" t="s">
        <v>156</v>
      </c>
      <c r="V98" s="59" t="s">
        <v>157</v>
      </c>
      <c r="W98" s="111"/>
    </row>
    <row r="99" spans="1:23" x14ac:dyDescent="0.3">
      <c r="A99" s="245" t="s">
        <v>158</v>
      </c>
      <c r="B99" s="240" t="s">
        <v>159</v>
      </c>
      <c r="C99" s="240">
        <v>0</v>
      </c>
      <c r="D99" s="245" t="s">
        <v>232</v>
      </c>
      <c r="E99" s="245" t="s">
        <v>232</v>
      </c>
      <c r="F99" s="245"/>
      <c r="G99" s="151" t="s">
        <v>29</v>
      </c>
      <c r="H99" s="245" t="s">
        <v>161</v>
      </c>
      <c r="I99" s="245"/>
      <c r="J99" s="245"/>
      <c r="K99" s="60">
        <v>36892</v>
      </c>
      <c r="L99" s="60" t="s">
        <v>162</v>
      </c>
      <c r="M99" s="60" t="s">
        <v>45</v>
      </c>
      <c r="N99" s="238" t="s">
        <v>163</v>
      </c>
      <c r="O99" s="238" t="s">
        <v>25</v>
      </c>
      <c r="P99" s="238" t="s">
        <v>164</v>
      </c>
      <c r="Q99" s="113" t="s">
        <v>25</v>
      </c>
      <c r="R99" s="113" t="s">
        <v>45</v>
      </c>
      <c r="S99" s="245" t="s">
        <v>165</v>
      </c>
      <c r="T99" s="238">
        <v>250000</v>
      </c>
      <c r="U99" s="238" t="s">
        <v>25</v>
      </c>
      <c r="V99" s="238" t="s">
        <v>25</v>
      </c>
      <c r="W99" s="114"/>
    </row>
    <row r="100" spans="1:23" x14ac:dyDescent="0.35">
      <c r="A100" s="74"/>
      <c r="B100" s="74"/>
      <c r="C100" s="74"/>
      <c r="D100" s="74"/>
      <c r="E100" s="74"/>
      <c r="F100" s="74"/>
      <c r="G100" s="74"/>
      <c r="H100" s="74"/>
      <c r="I100" s="74"/>
      <c r="J100" s="74"/>
      <c r="K100" s="74"/>
      <c r="L100" s="74"/>
      <c r="M100" s="74"/>
      <c r="N100" s="74"/>
      <c r="O100" s="74"/>
      <c r="P100" s="74"/>
      <c r="Q100" s="74"/>
      <c r="R100" s="74"/>
      <c r="S100" s="74"/>
      <c r="T100" s="74"/>
      <c r="U100" s="74"/>
      <c r="V100" s="74"/>
      <c r="W100" s="61"/>
    </row>
    <row r="101" spans="1:23" ht="14.65" customHeight="1" x14ac:dyDescent="0.35">
      <c r="A101" s="312" t="s">
        <v>36</v>
      </c>
      <c r="B101" s="310"/>
      <c r="C101" s="310"/>
      <c r="D101" s="310"/>
      <c r="E101" s="310"/>
      <c r="F101" s="310"/>
      <c r="G101" s="310"/>
      <c r="H101" s="310"/>
      <c r="I101" s="310"/>
      <c r="J101" s="310"/>
      <c r="K101" s="310"/>
      <c r="L101" s="310"/>
      <c r="M101" s="310"/>
      <c r="N101" s="310"/>
      <c r="O101" s="311"/>
      <c r="P101" s="74"/>
      <c r="Q101" s="74"/>
      <c r="R101" s="74"/>
      <c r="S101" s="74"/>
      <c r="T101" s="74"/>
      <c r="U101" s="74"/>
      <c r="V101" s="74"/>
      <c r="W101" s="61"/>
    </row>
    <row r="102" spans="1:23" x14ac:dyDescent="0.35">
      <c r="A102" s="59" t="s">
        <v>13</v>
      </c>
      <c r="B102" s="59" t="s">
        <v>14</v>
      </c>
      <c r="C102" s="59" t="s">
        <v>15</v>
      </c>
      <c r="D102" s="59" t="s">
        <v>16</v>
      </c>
      <c r="E102" s="59" t="s">
        <v>166</v>
      </c>
      <c r="F102" s="59" t="s">
        <v>167</v>
      </c>
      <c r="G102" s="59" t="s">
        <v>168</v>
      </c>
      <c r="H102" s="59" t="s">
        <v>169</v>
      </c>
      <c r="I102" s="59" t="s">
        <v>170</v>
      </c>
      <c r="J102" s="59" t="s">
        <v>171</v>
      </c>
      <c r="K102" s="59" t="s">
        <v>172</v>
      </c>
      <c r="L102" s="59" t="s">
        <v>173</v>
      </c>
      <c r="M102" s="59" t="s">
        <v>174</v>
      </c>
      <c r="N102" s="59" t="s">
        <v>175</v>
      </c>
      <c r="O102" s="59" t="s">
        <v>176</v>
      </c>
      <c r="P102" s="74"/>
      <c r="Q102" s="74"/>
      <c r="R102" s="74"/>
      <c r="S102" s="74"/>
      <c r="T102" s="74"/>
      <c r="U102" s="74"/>
      <c r="V102" s="74"/>
      <c r="W102" s="61"/>
    </row>
    <row r="103" spans="1:23" x14ac:dyDescent="0.3">
      <c r="A103" s="245">
        <v>0</v>
      </c>
      <c r="B103" s="141" t="s">
        <v>233</v>
      </c>
      <c r="C103" s="141" t="s">
        <v>233</v>
      </c>
      <c r="D103" s="151" t="s">
        <v>29</v>
      </c>
      <c r="E103" s="238" t="s">
        <v>25</v>
      </c>
      <c r="F103" s="238">
        <v>0</v>
      </c>
      <c r="G103" s="238">
        <v>60</v>
      </c>
      <c r="H103" s="245" t="s">
        <v>178</v>
      </c>
      <c r="I103" s="238" t="s">
        <v>179</v>
      </c>
      <c r="J103" s="244">
        <v>1</v>
      </c>
      <c r="K103" s="244">
        <v>10</v>
      </c>
      <c r="L103" s="245">
        <v>1000</v>
      </c>
      <c r="M103" s="245">
        <v>1000</v>
      </c>
      <c r="N103" s="245">
        <v>1000</v>
      </c>
      <c r="O103" s="245"/>
      <c r="P103" s="74"/>
      <c r="Q103" s="74"/>
      <c r="R103" s="74"/>
      <c r="S103" s="74"/>
      <c r="T103" s="74"/>
      <c r="U103" s="74"/>
      <c r="V103" s="74"/>
      <c r="W103" s="61"/>
    </row>
    <row r="104" spans="1:23" x14ac:dyDescent="0.3">
      <c r="A104" s="245">
        <v>1</v>
      </c>
      <c r="B104" s="141" t="s">
        <v>234</v>
      </c>
      <c r="C104" s="141" t="s">
        <v>234</v>
      </c>
      <c r="D104" s="151" t="s">
        <v>29</v>
      </c>
      <c r="E104" s="238" t="s">
        <v>25</v>
      </c>
      <c r="F104" s="238">
        <v>0</v>
      </c>
      <c r="G104" s="245">
        <v>60</v>
      </c>
      <c r="H104" s="245" t="s">
        <v>178</v>
      </c>
      <c r="I104" s="238" t="s">
        <v>179</v>
      </c>
      <c r="J104" s="244">
        <v>1</v>
      </c>
      <c r="K104" s="244">
        <v>10</v>
      </c>
      <c r="L104" s="245">
        <v>1000</v>
      </c>
      <c r="M104" s="245">
        <v>1000</v>
      </c>
      <c r="N104" s="245">
        <v>1000</v>
      </c>
      <c r="O104" s="245"/>
      <c r="P104" s="74"/>
      <c r="Q104" s="74"/>
      <c r="R104" s="74"/>
      <c r="S104" s="74"/>
      <c r="T104" s="74"/>
      <c r="U104" s="74"/>
      <c r="V104" s="74"/>
      <c r="W104" s="61"/>
    </row>
    <row r="105" spans="1:23" x14ac:dyDescent="0.3">
      <c r="A105" s="245">
        <v>2</v>
      </c>
      <c r="B105" s="141" t="s">
        <v>235</v>
      </c>
      <c r="C105" s="141" t="s">
        <v>235</v>
      </c>
      <c r="D105" s="151" t="s">
        <v>29</v>
      </c>
      <c r="E105" s="238" t="s">
        <v>25</v>
      </c>
      <c r="F105" s="238">
        <v>0</v>
      </c>
      <c r="G105" s="245">
        <v>60</v>
      </c>
      <c r="H105" s="245" t="s">
        <v>178</v>
      </c>
      <c r="I105" s="238" t="s">
        <v>179</v>
      </c>
      <c r="J105" s="244">
        <v>1</v>
      </c>
      <c r="K105" s="244">
        <v>10</v>
      </c>
      <c r="L105" s="245">
        <v>1000</v>
      </c>
      <c r="M105" s="245">
        <v>1000</v>
      </c>
      <c r="N105" s="245">
        <v>1000</v>
      </c>
      <c r="O105" s="245"/>
      <c r="P105" s="74"/>
      <c r="Q105" s="74"/>
      <c r="R105" s="74"/>
      <c r="S105" s="74"/>
      <c r="T105" s="74"/>
      <c r="U105" s="74"/>
      <c r="V105" s="74"/>
      <c r="W105" s="61"/>
    </row>
    <row r="106" spans="1:23" x14ac:dyDescent="0.3">
      <c r="A106" s="245">
        <v>3</v>
      </c>
      <c r="B106" s="141" t="s">
        <v>236</v>
      </c>
      <c r="C106" s="141" t="s">
        <v>236</v>
      </c>
      <c r="D106" s="151" t="s">
        <v>29</v>
      </c>
      <c r="E106" s="238" t="s">
        <v>25</v>
      </c>
      <c r="F106" s="238">
        <v>0</v>
      </c>
      <c r="G106" s="245">
        <v>60</v>
      </c>
      <c r="H106" s="245" t="s">
        <v>178</v>
      </c>
      <c r="I106" s="238" t="s">
        <v>179</v>
      </c>
      <c r="J106" s="244">
        <v>1</v>
      </c>
      <c r="K106" s="244">
        <v>10</v>
      </c>
      <c r="L106" s="245">
        <v>1000</v>
      </c>
      <c r="M106" s="245">
        <v>1000</v>
      </c>
      <c r="N106" s="245">
        <v>1000</v>
      </c>
      <c r="O106" s="245"/>
      <c r="P106" s="74"/>
      <c r="Q106" s="74"/>
      <c r="R106" s="74"/>
      <c r="S106" s="74"/>
      <c r="T106" s="74"/>
      <c r="U106" s="74"/>
      <c r="V106" s="74"/>
      <c r="W106" s="61"/>
    </row>
    <row r="107" spans="1:23" x14ac:dyDescent="0.3">
      <c r="A107" s="245">
        <v>4</v>
      </c>
      <c r="B107" s="141" t="s">
        <v>237</v>
      </c>
      <c r="C107" s="141" t="s">
        <v>237</v>
      </c>
      <c r="D107" s="151" t="s">
        <v>29</v>
      </c>
      <c r="E107" s="238" t="s">
        <v>25</v>
      </c>
      <c r="F107" s="238">
        <v>0</v>
      </c>
      <c r="G107" s="245">
        <v>60</v>
      </c>
      <c r="H107" s="245" t="s">
        <v>178</v>
      </c>
      <c r="I107" s="238" t="s">
        <v>179</v>
      </c>
      <c r="J107" s="244">
        <v>1</v>
      </c>
      <c r="K107" s="244">
        <v>10</v>
      </c>
      <c r="L107" s="245">
        <v>1000</v>
      </c>
      <c r="M107" s="245">
        <v>1000</v>
      </c>
      <c r="N107" s="245">
        <v>1000</v>
      </c>
      <c r="O107" s="245"/>
      <c r="P107" s="74"/>
      <c r="Q107" s="74"/>
      <c r="R107" s="74"/>
      <c r="S107" s="74"/>
      <c r="T107" s="74"/>
      <c r="U107" s="74"/>
      <c r="V107" s="74"/>
      <c r="W107" s="61"/>
    </row>
    <row r="108" spans="1:23" x14ac:dyDescent="0.3">
      <c r="A108" s="245">
        <v>5</v>
      </c>
      <c r="B108" s="141" t="s">
        <v>238</v>
      </c>
      <c r="C108" s="141" t="s">
        <v>238</v>
      </c>
      <c r="D108" s="151" t="s">
        <v>29</v>
      </c>
      <c r="E108" s="238" t="s">
        <v>25</v>
      </c>
      <c r="F108" s="238">
        <v>0</v>
      </c>
      <c r="G108" s="245">
        <v>30</v>
      </c>
      <c r="H108" s="245" t="s">
        <v>178</v>
      </c>
      <c r="I108" s="238" t="s">
        <v>179</v>
      </c>
      <c r="J108" s="244">
        <v>1</v>
      </c>
      <c r="K108" s="243">
        <v>5</v>
      </c>
      <c r="L108" s="245">
        <v>1000</v>
      </c>
      <c r="M108" s="245">
        <v>1000</v>
      </c>
      <c r="N108" s="245">
        <v>1000</v>
      </c>
      <c r="O108" s="245"/>
      <c r="P108" s="74"/>
      <c r="Q108" s="74"/>
      <c r="R108" s="74"/>
      <c r="S108" s="74"/>
      <c r="T108" s="74"/>
      <c r="U108" s="74"/>
      <c r="V108" s="74"/>
      <c r="W108" s="61"/>
    </row>
    <row r="109" spans="1:23" x14ac:dyDescent="0.3">
      <c r="A109" s="245">
        <v>6</v>
      </c>
      <c r="B109" s="141" t="s">
        <v>239</v>
      </c>
      <c r="C109" s="141" t="s">
        <v>239</v>
      </c>
      <c r="D109" s="151" t="s">
        <v>29</v>
      </c>
      <c r="E109" s="238" t="s">
        <v>25</v>
      </c>
      <c r="F109" s="238">
        <v>0</v>
      </c>
      <c r="G109" s="245">
        <v>60</v>
      </c>
      <c r="H109" s="245" t="s">
        <v>178</v>
      </c>
      <c r="I109" s="238" t="s">
        <v>179</v>
      </c>
      <c r="J109" s="244">
        <v>1</v>
      </c>
      <c r="K109" s="243">
        <v>5</v>
      </c>
      <c r="L109" s="245">
        <v>1000</v>
      </c>
      <c r="M109" s="245">
        <v>1000</v>
      </c>
      <c r="N109" s="245">
        <v>1000</v>
      </c>
      <c r="O109" s="245"/>
      <c r="P109" s="74"/>
      <c r="Q109" s="74"/>
      <c r="R109" s="74"/>
      <c r="S109" s="74"/>
      <c r="T109" s="74"/>
      <c r="U109" s="74"/>
      <c r="V109" s="74"/>
      <c r="W109" s="61"/>
    </row>
    <row r="110" spans="1:23" x14ac:dyDescent="0.3">
      <c r="A110" s="245">
        <v>7</v>
      </c>
      <c r="B110" s="141" t="s">
        <v>240</v>
      </c>
      <c r="C110" s="141" t="s">
        <v>240</v>
      </c>
      <c r="D110" s="151" t="s">
        <v>29</v>
      </c>
      <c r="E110" s="238" t="s">
        <v>25</v>
      </c>
      <c r="F110" s="238">
        <v>0</v>
      </c>
      <c r="G110" s="245">
        <v>30</v>
      </c>
      <c r="H110" s="245" t="s">
        <v>178</v>
      </c>
      <c r="I110" s="238" t="s">
        <v>179</v>
      </c>
      <c r="J110" s="244">
        <v>1</v>
      </c>
      <c r="K110" s="243">
        <v>5</v>
      </c>
      <c r="L110" s="245">
        <v>1000</v>
      </c>
      <c r="M110" s="245">
        <v>1000</v>
      </c>
      <c r="N110" s="245">
        <v>1000</v>
      </c>
      <c r="O110" s="245"/>
      <c r="P110" s="74"/>
      <c r="Q110" s="74"/>
      <c r="R110" s="74"/>
      <c r="S110" s="74"/>
      <c r="T110" s="74"/>
      <c r="U110" s="74"/>
      <c r="V110" s="74"/>
      <c r="W110" s="61"/>
    </row>
    <row r="111" spans="1:23" ht="13.4" customHeight="1" thickBot="1" x14ac:dyDescent="0.4">
      <c r="A111" s="62"/>
      <c r="B111" s="62"/>
      <c r="C111" s="62"/>
      <c r="D111" s="62"/>
      <c r="E111" s="62"/>
      <c r="F111" s="62"/>
      <c r="G111" s="62"/>
      <c r="H111" s="62"/>
      <c r="I111" s="62"/>
      <c r="J111" s="62"/>
      <c r="K111" s="62"/>
      <c r="L111" s="62"/>
      <c r="M111" s="62"/>
      <c r="N111" s="62"/>
      <c r="O111" s="62"/>
      <c r="P111" s="62"/>
      <c r="Q111" s="62"/>
      <c r="R111" s="62"/>
      <c r="S111" s="62"/>
      <c r="T111" s="62"/>
      <c r="U111" s="62"/>
      <c r="V111" s="62"/>
      <c r="W111" s="63"/>
    </row>
    <row r="112" spans="1:23" ht="13.4" customHeight="1" thickTop="1" x14ac:dyDescent="0.35">
      <c r="A112" s="68"/>
      <c r="B112" s="68"/>
      <c r="C112" s="68"/>
      <c r="D112" s="68"/>
      <c r="E112" s="68"/>
      <c r="F112" s="68"/>
      <c r="G112" s="68"/>
      <c r="H112" s="68"/>
      <c r="I112" s="68"/>
      <c r="J112" s="68"/>
      <c r="K112" s="68"/>
      <c r="L112" s="68"/>
      <c r="M112" s="68"/>
      <c r="N112" s="68"/>
      <c r="O112" s="68"/>
      <c r="P112" s="68"/>
      <c r="Q112" s="68"/>
      <c r="R112" s="68"/>
      <c r="S112" s="68"/>
      <c r="T112" s="68"/>
      <c r="U112" s="68"/>
      <c r="V112" s="68"/>
      <c r="W112" s="64"/>
    </row>
    <row r="113" spans="1:23" ht="14.65" customHeight="1" x14ac:dyDescent="0.35">
      <c r="A113" s="313" t="s">
        <v>7</v>
      </c>
      <c r="B113" s="310"/>
      <c r="C113" s="310"/>
      <c r="D113" s="310"/>
      <c r="E113" s="310"/>
      <c r="F113" s="310"/>
      <c r="G113" s="310"/>
      <c r="H113" s="310"/>
      <c r="I113" s="310"/>
      <c r="J113" s="310"/>
      <c r="K113" s="310"/>
      <c r="L113" s="310"/>
      <c r="M113" s="310"/>
      <c r="N113" s="310"/>
      <c r="O113" s="310"/>
      <c r="P113" s="310"/>
      <c r="Q113" s="310"/>
      <c r="R113" s="310"/>
      <c r="S113" s="310"/>
      <c r="T113" s="310"/>
      <c r="U113" s="310"/>
      <c r="V113" s="311"/>
      <c r="W113" s="64"/>
    </row>
    <row r="114" spans="1:23" x14ac:dyDescent="0.35">
      <c r="A114" s="233" t="s">
        <v>10</v>
      </c>
      <c r="B114" s="233" t="s">
        <v>11</v>
      </c>
      <c r="C114" s="233" t="s">
        <v>12</v>
      </c>
      <c r="D114" s="233" t="s">
        <v>13</v>
      </c>
      <c r="E114" s="233" t="s">
        <v>14</v>
      </c>
      <c r="F114" s="233" t="s">
        <v>15</v>
      </c>
      <c r="G114" s="233" t="s">
        <v>16</v>
      </c>
      <c r="H114" s="233" t="s">
        <v>17</v>
      </c>
      <c r="I114" s="233" t="s">
        <v>18</v>
      </c>
      <c r="J114" s="233" t="s">
        <v>19</v>
      </c>
      <c r="K114" s="233" t="s">
        <v>20</v>
      </c>
      <c r="L114" s="233" t="s">
        <v>147</v>
      </c>
      <c r="M114" s="233" t="s">
        <v>148</v>
      </c>
      <c r="N114" s="59" t="s">
        <v>149</v>
      </c>
      <c r="O114" s="59" t="s">
        <v>150</v>
      </c>
      <c r="P114" s="59" t="s">
        <v>151</v>
      </c>
      <c r="Q114" s="233" t="s">
        <v>152</v>
      </c>
      <c r="R114" s="233" t="s">
        <v>153</v>
      </c>
      <c r="S114" s="233" t="s">
        <v>154</v>
      </c>
      <c r="T114" s="233" t="s">
        <v>155</v>
      </c>
      <c r="U114" s="233" t="s">
        <v>156</v>
      </c>
      <c r="V114" s="233" t="s">
        <v>157</v>
      </c>
      <c r="W114" s="116"/>
    </row>
    <row r="115" spans="1:23" x14ac:dyDescent="0.3">
      <c r="A115" s="245" t="s">
        <v>158</v>
      </c>
      <c r="B115" s="241" t="s">
        <v>159</v>
      </c>
      <c r="C115" s="241">
        <v>0</v>
      </c>
      <c r="D115" s="246" t="s">
        <v>241</v>
      </c>
      <c r="E115" s="246" t="s">
        <v>241</v>
      </c>
      <c r="F115" s="246"/>
      <c r="G115" s="151" t="s">
        <v>29</v>
      </c>
      <c r="H115" s="246" t="s">
        <v>161</v>
      </c>
      <c r="I115" s="246"/>
      <c r="J115" s="246"/>
      <c r="K115" s="65">
        <v>36892</v>
      </c>
      <c r="L115" s="60" t="s">
        <v>162</v>
      </c>
      <c r="M115" s="65" t="s">
        <v>45</v>
      </c>
      <c r="N115" s="238" t="s">
        <v>163</v>
      </c>
      <c r="O115" s="238" t="s">
        <v>25</v>
      </c>
      <c r="P115" s="238" t="s">
        <v>164</v>
      </c>
      <c r="Q115" s="117" t="s">
        <v>25</v>
      </c>
      <c r="R115" s="117" t="s">
        <v>45</v>
      </c>
      <c r="S115" s="246" t="s">
        <v>165</v>
      </c>
      <c r="T115" s="238">
        <v>250000</v>
      </c>
      <c r="U115" s="239" t="s">
        <v>25</v>
      </c>
      <c r="V115" s="239" t="s">
        <v>25</v>
      </c>
      <c r="W115" s="118"/>
    </row>
    <row r="116" spans="1:23" x14ac:dyDescent="0.35">
      <c r="A116" s="85"/>
      <c r="B116" s="85"/>
      <c r="C116" s="85"/>
      <c r="D116" s="85"/>
      <c r="E116" s="85"/>
      <c r="F116" s="85"/>
      <c r="G116" s="85"/>
      <c r="H116" s="85"/>
      <c r="I116" s="85"/>
      <c r="J116" s="85"/>
      <c r="K116" s="85"/>
      <c r="L116" s="85"/>
      <c r="M116" s="85"/>
      <c r="N116" s="85"/>
      <c r="O116" s="85"/>
      <c r="P116" s="85"/>
      <c r="Q116" s="85"/>
      <c r="R116" s="85"/>
      <c r="S116" s="85"/>
      <c r="T116" s="85"/>
      <c r="U116" s="85"/>
      <c r="V116" s="85"/>
      <c r="W116" s="64"/>
    </row>
    <row r="117" spans="1:23" ht="14.65" customHeight="1" x14ac:dyDescent="0.35">
      <c r="A117" s="313" t="s">
        <v>36</v>
      </c>
      <c r="B117" s="310"/>
      <c r="C117" s="310"/>
      <c r="D117" s="310"/>
      <c r="E117" s="310"/>
      <c r="F117" s="310"/>
      <c r="G117" s="310"/>
      <c r="H117" s="310"/>
      <c r="I117" s="310"/>
      <c r="J117" s="310"/>
      <c r="K117" s="310"/>
      <c r="L117" s="310"/>
      <c r="M117" s="310"/>
      <c r="N117" s="310"/>
      <c r="O117" s="311"/>
      <c r="P117" s="85"/>
      <c r="Q117" s="85"/>
      <c r="R117" s="85"/>
      <c r="S117" s="85"/>
      <c r="T117" s="85"/>
      <c r="U117" s="85"/>
      <c r="V117" s="85"/>
      <c r="W117" s="64"/>
    </row>
    <row r="118" spans="1:23" x14ac:dyDescent="0.35">
      <c r="A118" s="233" t="s">
        <v>13</v>
      </c>
      <c r="B118" s="233" t="s">
        <v>14</v>
      </c>
      <c r="C118" s="233" t="s">
        <v>15</v>
      </c>
      <c r="D118" s="233" t="s">
        <v>16</v>
      </c>
      <c r="E118" s="233" t="s">
        <v>166</v>
      </c>
      <c r="F118" s="233" t="s">
        <v>167</v>
      </c>
      <c r="G118" s="233" t="s">
        <v>168</v>
      </c>
      <c r="H118" s="233" t="s">
        <v>169</v>
      </c>
      <c r="I118" s="233" t="s">
        <v>170</v>
      </c>
      <c r="J118" s="233" t="s">
        <v>171</v>
      </c>
      <c r="K118" s="233" t="s">
        <v>172</v>
      </c>
      <c r="L118" s="233" t="s">
        <v>173</v>
      </c>
      <c r="M118" s="233" t="s">
        <v>174</v>
      </c>
      <c r="N118" s="233" t="s">
        <v>175</v>
      </c>
      <c r="O118" s="233" t="s">
        <v>176</v>
      </c>
      <c r="P118" s="85"/>
      <c r="Q118" s="85"/>
      <c r="R118" s="85"/>
      <c r="S118" s="85"/>
      <c r="T118" s="85"/>
      <c r="U118" s="85"/>
      <c r="V118" s="85"/>
      <c r="W118" s="64"/>
    </row>
    <row r="119" spans="1:23" x14ac:dyDescent="0.3">
      <c r="A119" s="246">
        <v>0</v>
      </c>
      <c r="B119" s="241" t="s">
        <v>242</v>
      </c>
      <c r="C119" s="241" t="s">
        <v>242</v>
      </c>
      <c r="D119" s="151" t="s">
        <v>29</v>
      </c>
      <c r="E119" s="239" t="s">
        <v>25</v>
      </c>
      <c r="F119" s="239">
        <v>0</v>
      </c>
      <c r="G119" s="239">
        <v>60</v>
      </c>
      <c r="H119" s="246" t="s">
        <v>178</v>
      </c>
      <c r="I119" s="239" t="s">
        <v>179</v>
      </c>
      <c r="J119" s="244">
        <v>1</v>
      </c>
      <c r="K119" s="244">
        <v>20</v>
      </c>
      <c r="L119" s="246">
        <v>1000</v>
      </c>
      <c r="M119" s="246">
        <v>1000</v>
      </c>
      <c r="N119" s="246">
        <v>1000</v>
      </c>
      <c r="O119" s="246"/>
      <c r="P119" s="85"/>
      <c r="Q119" s="85"/>
      <c r="R119" s="85"/>
      <c r="S119" s="85"/>
      <c r="T119" s="85"/>
      <c r="U119" s="85"/>
      <c r="V119" s="85"/>
      <c r="W119" s="64"/>
    </row>
    <row r="120" spans="1:23" x14ac:dyDescent="0.3">
      <c r="A120" s="246">
        <v>1</v>
      </c>
      <c r="B120" s="241" t="s">
        <v>243</v>
      </c>
      <c r="C120" s="241" t="s">
        <v>243</v>
      </c>
      <c r="D120" s="151" t="s">
        <v>29</v>
      </c>
      <c r="E120" s="239" t="s">
        <v>25</v>
      </c>
      <c r="F120" s="239">
        <v>0</v>
      </c>
      <c r="G120" s="246">
        <v>10</v>
      </c>
      <c r="H120" s="246" t="s">
        <v>178</v>
      </c>
      <c r="I120" s="239" t="s">
        <v>179</v>
      </c>
      <c r="J120" s="244">
        <v>0.5</v>
      </c>
      <c r="K120" s="244">
        <v>5</v>
      </c>
      <c r="L120" s="246">
        <v>1000</v>
      </c>
      <c r="M120" s="246">
        <v>1000</v>
      </c>
      <c r="N120" s="246">
        <v>1000</v>
      </c>
      <c r="O120" s="246"/>
      <c r="P120" s="85"/>
      <c r="Q120" s="85"/>
      <c r="R120" s="85"/>
      <c r="S120" s="85"/>
      <c r="T120" s="85"/>
      <c r="U120" s="85"/>
      <c r="V120" s="85"/>
      <c r="W120" s="64"/>
    </row>
    <row r="121" spans="1:23" x14ac:dyDescent="0.3">
      <c r="A121" s="246">
        <v>2</v>
      </c>
      <c r="B121" s="241" t="s">
        <v>244</v>
      </c>
      <c r="C121" s="241" t="s">
        <v>244</v>
      </c>
      <c r="D121" s="151" t="s">
        <v>29</v>
      </c>
      <c r="E121" s="239" t="s">
        <v>25</v>
      </c>
      <c r="F121" s="239">
        <v>0</v>
      </c>
      <c r="G121" s="246">
        <v>10</v>
      </c>
      <c r="H121" s="246" t="s">
        <v>178</v>
      </c>
      <c r="I121" s="239" t="s">
        <v>179</v>
      </c>
      <c r="J121" s="244">
        <v>0.5</v>
      </c>
      <c r="K121" s="244">
        <v>5</v>
      </c>
      <c r="L121" s="246">
        <v>1000</v>
      </c>
      <c r="M121" s="246">
        <v>1000</v>
      </c>
      <c r="N121" s="246">
        <v>1000</v>
      </c>
      <c r="O121" s="246"/>
      <c r="P121" s="85"/>
      <c r="Q121" s="85"/>
      <c r="R121" s="85"/>
      <c r="S121" s="85"/>
      <c r="T121" s="85"/>
      <c r="U121" s="85"/>
      <c r="V121" s="85"/>
      <c r="W121" s="64"/>
    </row>
    <row r="122" spans="1:23" x14ac:dyDescent="0.3">
      <c r="A122" s="246">
        <v>3</v>
      </c>
      <c r="B122" s="241" t="s">
        <v>245</v>
      </c>
      <c r="C122" s="241" t="s">
        <v>245</v>
      </c>
      <c r="D122" s="151" t="s">
        <v>29</v>
      </c>
      <c r="E122" s="239" t="s">
        <v>25</v>
      </c>
      <c r="F122" s="239">
        <v>0</v>
      </c>
      <c r="G122" s="246">
        <v>10</v>
      </c>
      <c r="H122" s="246" t="s">
        <v>178</v>
      </c>
      <c r="I122" s="239" t="s">
        <v>179</v>
      </c>
      <c r="J122" s="244">
        <v>0.5</v>
      </c>
      <c r="K122" s="244">
        <v>5</v>
      </c>
      <c r="L122" s="246">
        <v>1000</v>
      </c>
      <c r="M122" s="246">
        <v>1000</v>
      </c>
      <c r="N122" s="246">
        <v>1000</v>
      </c>
      <c r="O122" s="246"/>
      <c r="P122" s="85"/>
      <c r="Q122" s="85"/>
      <c r="R122" s="85"/>
      <c r="S122" s="85"/>
      <c r="T122" s="85"/>
      <c r="U122" s="85"/>
      <c r="V122" s="85"/>
      <c r="W122" s="64"/>
    </row>
    <row r="123" spans="1:23" x14ac:dyDescent="0.3">
      <c r="A123" s="246">
        <v>4</v>
      </c>
      <c r="B123" s="155" t="s">
        <v>246</v>
      </c>
      <c r="C123" s="155" t="s">
        <v>246</v>
      </c>
      <c r="D123" s="151" t="s">
        <v>29</v>
      </c>
      <c r="E123" s="239" t="s">
        <v>25</v>
      </c>
      <c r="F123" s="239">
        <v>0</v>
      </c>
      <c r="G123" s="246">
        <v>10</v>
      </c>
      <c r="H123" s="246" t="s">
        <v>178</v>
      </c>
      <c r="I123" s="239" t="s">
        <v>179</v>
      </c>
      <c r="J123" s="244">
        <v>0.5</v>
      </c>
      <c r="K123" s="244">
        <v>5</v>
      </c>
      <c r="L123" s="246">
        <v>1000</v>
      </c>
      <c r="M123" s="246">
        <v>1000</v>
      </c>
      <c r="N123" s="246">
        <v>1000</v>
      </c>
      <c r="O123" s="246"/>
      <c r="P123" s="85"/>
      <c r="Q123" s="85"/>
      <c r="R123" s="85"/>
      <c r="S123" s="85"/>
      <c r="T123" s="85"/>
      <c r="U123" s="85"/>
      <c r="V123" s="85"/>
      <c r="W123" s="64"/>
    </row>
    <row r="124" spans="1:23" x14ac:dyDescent="0.3">
      <c r="A124" s="246">
        <v>5</v>
      </c>
      <c r="B124" s="241" t="s">
        <v>247</v>
      </c>
      <c r="C124" s="241" t="s">
        <v>247</v>
      </c>
      <c r="D124" s="151" t="s">
        <v>29</v>
      </c>
      <c r="E124" s="239" t="s">
        <v>25</v>
      </c>
      <c r="F124" s="239">
        <v>0</v>
      </c>
      <c r="G124" s="246">
        <v>10</v>
      </c>
      <c r="H124" s="246" t="s">
        <v>178</v>
      </c>
      <c r="I124" s="239" t="s">
        <v>179</v>
      </c>
      <c r="J124" s="244">
        <v>0.5</v>
      </c>
      <c r="K124" s="244">
        <v>5</v>
      </c>
      <c r="L124" s="246">
        <v>1000</v>
      </c>
      <c r="M124" s="246">
        <v>1000</v>
      </c>
      <c r="N124" s="246">
        <v>1000</v>
      </c>
      <c r="O124" s="246"/>
      <c r="P124" s="85"/>
      <c r="Q124" s="85"/>
      <c r="R124" s="85"/>
      <c r="S124" s="85"/>
      <c r="T124" s="85"/>
      <c r="U124" s="85"/>
      <c r="V124" s="85"/>
      <c r="W124" s="64"/>
    </row>
    <row r="125" spans="1:23" x14ac:dyDescent="0.3">
      <c r="A125" s="246">
        <v>6</v>
      </c>
      <c r="B125" s="241" t="s">
        <v>248</v>
      </c>
      <c r="C125" s="241" t="s">
        <v>248</v>
      </c>
      <c r="D125" s="151" t="s">
        <v>29</v>
      </c>
      <c r="E125" s="239" t="s">
        <v>25</v>
      </c>
      <c r="F125" s="239">
        <v>0</v>
      </c>
      <c r="G125" s="246">
        <v>10</v>
      </c>
      <c r="H125" s="246" t="s">
        <v>178</v>
      </c>
      <c r="I125" s="239" t="s">
        <v>179</v>
      </c>
      <c r="J125" s="244">
        <v>0.5</v>
      </c>
      <c r="K125" s="244">
        <v>5</v>
      </c>
      <c r="L125" s="246">
        <v>1000</v>
      </c>
      <c r="M125" s="246">
        <v>1000</v>
      </c>
      <c r="N125" s="246">
        <v>1000</v>
      </c>
      <c r="O125" s="246"/>
      <c r="P125" s="85"/>
      <c r="Q125" s="85"/>
      <c r="R125" s="85"/>
      <c r="S125" s="85"/>
      <c r="T125" s="85"/>
      <c r="U125" s="85"/>
      <c r="V125" s="85"/>
      <c r="W125" s="64"/>
    </row>
    <row r="126" spans="1:23" x14ac:dyDescent="0.3">
      <c r="A126" s="246">
        <v>7</v>
      </c>
      <c r="B126" s="241" t="s">
        <v>249</v>
      </c>
      <c r="C126" s="241" t="s">
        <v>249</v>
      </c>
      <c r="D126" s="151" t="s">
        <v>29</v>
      </c>
      <c r="E126" s="239" t="s">
        <v>25</v>
      </c>
      <c r="F126" s="239">
        <v>0</v>
      </c>
      <c r="G126" s="246">
        <v>10</v>
      </c>
      <c r="H126" s="246" t="s">
        <v>178</v>
      </c>
      <c r="I126" s="239" t="s">
        <v>179</v>
      </c>
      <c r="J126" s="244">
        <v>0.5</v>
      </c>
      <c r="K126" s="244">
        <v>5</v>
      </c>
      <c r="L126" s="246">
        <v>1000</v>
      </c>
      <c r="M126" s="246">
        <v>1000</v>
      </c>
      <c r="N126" s="246">
        <v>1000</v>
      </c>
      <c r="O126" s="246"/>
      <c r="P126" s="85"/>
      <c r="Q126" s="85"/>
      <c r="R126" s="85"/>
      <c r="S126" s="85"/>
      <c r="T126" s="85"/>
      <c r="U126" s="85"/>
      <c r="V126" s="85"/>
      <c r="W126" s="64"/>
    </row>
    <row r="127" spans="1:23" ht="13.4" customHeight="1" thickBot="1" x14ac:dyDescent="0.4">
      <c r="A127" s="66"/>
      <c r="B127" s="66"/>
      <c r="C127" s="66"/>
      <c r="D127" s="66"/>
      <c r="E127" s="66"/>
      <c r="F127" s="66"/>
      <c r="G127" s="66"/>
      <c r="H127" s="66"/>
      <c r="I127" s="66"/>
      <c r="J127" s="66"/>
      <c r="K127" s="66"/>
      <c r="L127" s="66"/>
      <c r="M127" s="66"/>
      <c r="N127" s="66"/>
      <c r="O127" s="66"/>
      <c r="P127" s="66"/>
      <c r="Q127" s="66"/>
      <c r="R127" s="66"/>
      <c r="S127" s="66"/>
      <c r="T127" s="66"/>
      <c r="U127" s="66"/>
      <c r="V127" s="66"/>
      <c r="W127" s="67"/>
    </row>
    <row r="128" spans="1:23" ht="13.4" customHeight="1" thickTop="1" x14ac:dyDescent="0.35">
      <c r="A128" s="69"/>
      <c r="B128" s="69"/>
      <c r="C128" s="69"/>
      <c r="D128" s="69"/>
      <c r="E128" s="69"/>
      <c r="F128" s="69"/>
      <c r="G128" s="69"/>
      <c r="H128" s="69"/>
      <c r="I128" s="69"/>
      <c r="J128" s="69"/>
      <c r="K128" s="69"/>
      <c r="L128" s="69"/>
      <c r="M128" s="69"/>
      <c r="N128" s="69"/>
      <c r="O128" s="69"/>
      <c r="P128" s="69"/>
      <c r="Q128" s="69"/>
      <c r="R128" s="69"/>
      <c r="S128" s="69"/>
      <c r="T128" s="69"/>
      <c r="U128" s="69"/>
      <c r="V128" s="69"/>
      <c r="W128" s="61"/>
    </row>
    <row r="129" spans="1:23" ht="14.65" customHeight="1" x14ac:dyDescent="0.35">
      <c r="A129" s="312" t="s">
        <v>7</v>
      </c>
      <c r="B129" s="310"/>
      <c r="C129" s="310"/>
      <c r="D129" s="310"/>
      <c r="E129" s="310"/>
      <c r="F129" s="310"/>
      <c r="G129" s="310"/>
      <c r="H129" s="310"/>
      <c r="I129" s="310"/>
      <c r="J129" s="310"/>
      <c r="K129" s="310"/>
      <c r="L129" s="310"/>
      <c r="M129" s="310"/>
      <c r="N129" s="310"/>
      <c r="O129" s="310"/>
      <c r="P129" s="310"/>
      <c r="Q129" s="310"/>
      <c r="R129" s="310"/>
      <c r="S129" s="310"/>
      <c r="T129" s="310"/>
      <c r="U129" s="310"/>
      <c r="V129" s="311"/>
      <c r="W129" s="61"/>
    </row>
    <row r="130" spans="1:23" x14ac:dyDescent="0.35">
      <c r="A130" s="59" t="s">
        <v>10</v>
      </c>
      <c r="B130" s="59" t="s">
        <v>11</v>
      </c>
      <c r="C130" s="59" t="s">
        <v>12</v>
      </c>
      <c r="D130" s="59" t="s">
        <v>13</v>
      </c>
      <c r="E130" s="59" t="s">
        <v>14</v>
      </c>
      <c r="F130" s="59" t="s">
        <v>15</v>
      </c>
      <c r="G130" s="59" t="s">
        <v>16</v>
      </c>
      <c r="H130" s="59" t="s">
        <v>17</v>
      </c>
      <c r="I130" s="59" t="s">
        <v>18</v>
      </c>
      <c r="J130" s="59" t="s">
        <v>19</v>
      </c>
      <c r="K130" s="59" t="s">
        <v>20</v>
      </c>
      <c r="L130" s="59" t="s">
        <v>147</v>
      </c>
      <c r="M130" s="59" t="s">
        <v>148</v>
      </c>
      <c r="N130" s="59" t="s">
        <v>149</v>
      </c>
      <c r="O130" s="59" t="s">
        <v>150</v>
      </c>
      <c r="P130" s="59" t="s">
        <v>151</v>
      </c>
      <c r="Q130" s="59" t="s">
        <v>152</v>
      </c>
      <c r="R130" s="59" t="s">
        <v>153</v>
      </c>
      <c r="S130" s="59" t="s">
        <v>154</v>
      </c>
      <c r="T130" s="59" t="s">
        <v>155</v>
      </c>
      <c r="U130" s="59" t="s">
        <v>156</v>
      </c>
      <c r="V130" s="59" t="s">
        <v>157</v>
      </c>
      <c r="W130" s="111"/>
    </row>
    <row r="131" spans="1:23" x14ac:dyDescent="0.3">
      <c r="A131" s="245" t="s">
        <v>158</v>
      </c>
      <c r="B131" s="240" t="s">
        <v>159</v>
      </c>
      <c r="C131" s="240">
        <v>0</v>
      </c>
      <c r="D131" s="245" t="s">
        <v>250</v>
      </c>
      <c r="E131" s="245" t="s">
        <v>250</v>
      </c>
      <c r="F131" s="245"/>
      <c r="G131" s="238" t="s">
        <v>29</v>
      </c>
      <c r="H131" s="245" t="s">
        <v>161</v>
      </c>
      <c r="I131" s="245"/>
      <c r="J131" s="245"/>
      <c r="K131" s="60">
        <v>36892</v>
      </c>
      <c r="L131" s="60" t="s">
        <v>162</v>
      </c>
      <c r="M131" s="60" t="s">
        <v>45</v>
      </c>
      <c r="N131" s="238" t="s">
        <v>163</v>
      </c>
      <c r="O131" s="238" t="s">
        <v>25</v>
      </c>
      <c r="P131" s="238" t="s">
        <v>164</v>
      </c>
      <c r="Q131" s="113" t="s">
        <v>25</v>
      </c>
      <c r="R131" s="113" t="s">
        <v>45</v>
      </c>
      <c r="S131" s="245" t="s">
        <v>165</v>
      </c>
      <c r="T131" s="238">
        <v>250000</v>
      </c>
      <c r="U131" s="238" t="s">
        <v>25</v>
      </c>
      <c r="V131" s="238" t="s">
        <v>25</v>
      </c>
      <c r="W131" s="114"/>
    </row>
    <row r="132" spans="1:23" x14ac:dyDescent="0.35">
      <c r="A132" s="74"/>
      <c r="B132" s="74"/>
      <c r="C132" s="74"/>
      <c r="D132" s="74"/>
      <c r="E132" s="74"/>
      <c r="F132" s="74"/>
      <c r="G132" s="74"/>
      <c r="H132" s="74"/>
      <c r="I132" s="74"/>
      <c r="J132" s="74"/>
      <c r="K132" s="74"/>
      <c r="L132" s="74"/>
      <c r="M132" s="74"/>
      <c r="N132" s="74"/>
      <c r="O132" s="74"/>
      <c r="P132" s="74"/>
      <c r="Q132" s="74"/>
      <c r="R132" s="74"/>
      <c r="S132" s="74"/>
      <c r="T132" s="74"/>
      <c r="U132" s="74"/>
      <c r="V132" s="74"/>
      <c r="W132" s="61"/>
    </row>
    <row r="133" spans="1:23" ht="14.65" customHeight="1" x14ac:dyDescent="0.35">
      <c r="A133" s="312" t="s">
        <v>36</v>
      </c>
      <c r="B133" s="310"/>
      <c r="C133" s="310"/>
      <c r="D133" s="310"/>
      <c r="E133" s="310"/>
      <c r="F133" s="310"/>
      <c r="G133" s="310"/>
      <c r="H133" s="310"/>
      <c r="I133" s="310"/>
      <c r="J133" s="310"/>
      <c r="K133" s="310"/>
      <c r="L133" s="310"/>
      <c r="M133" s="310"/>
      <c r="N133" s="310"/>
      <c r="O133" s="311"/>
      <c r="P133" s="74"/>
      <c r="Q133" s="74"/>
      <c r="R133" s="74"/>
      <c r="S133" s="74"/>
      <c r="T133" s="74"/>
      <c r="U133" s="74"/>
      <c r="V133" s="74"/>
      <c r="W133" s="61"/>
    </row>
    <row r="134" spans="1:23" x14ac:dyDescent="0.35">
      <c r="A134" s="59" t="s">
        <v>13</v>
      </c>
      <c r="B134" s="59" t="s">
        <v>14</v>
      </c>
      <c r="C134" s="59" t="s">
        <v>15</v>
      </c>
      <c r="D134" s="59" t="s">
        <v>16</v>
      </c>
      <c r="E134" s="59" t="s">
        <v>166</v>
      </c>
      <c r="F134" s="59" t="s">
        <v>167</v>
      </c>
      <c r="G134" s="59" t="s">
        <v>168</v>
      </c>
      <c r="H134" s="59" t="s">
        <v>169</v>
      </c>
      <c r="I134" s="59" t="s">
        <v>170</v>
      </c>
      <c r="J134" s="59" t="s">
        <v>171</v>
      </c>
      <c r="K134" s="59" t="s">
        <v>172</v>
      </c>
      <c r="L134" s="59" t="s">
        <v>173</v>
      </c>
      <c r="M134" s="59" t="s">
        <v>174</v>
      </c>
      <c r="N134" s="59" t="s">
        <v>175</v>
      </c>
      <c r="O134" s="59" t="s">
        <v>176</v>
      </c>
      <c r="P134" s="74"/>
      <c r="Q134" s="74"/>
      <c r="R134" s="74"/>
      <c r="S134" s="74"/>
      <c r="T134" s="74"/>
      <c r="U134" s="74"/>
      <c r="V134" s="74"/>
      <c r="W134" s="61"/>
    </row>
    <row r="135" spans="1:23" x14ac:dyDescent="0.35">
      <c r="A135" s="245">
        <v>0</v>
      </c>
      <c r="B135" s="245" t="s">
        <v>251</v>
      </c>
      <c r="C135" s="245"/>
      <c r="D135" s="238" t="s">
        <v>29</v>
      </c>
      <c r="E135" s="238" t="s">
        <v>25</v>
      </c>
      <c r="F135" s="238">
        <v>0</v>
      </c>
      <c r="G135" s="238">
        <v>10</v>
      </c>
      <c r="H135" s="245" t="s">
        <v>178</v>
      </c>
      <c r="I135" s="238" t="s">
        <v>179</v>
      </c>
      <c r="J135" s="243">
        <v>0.5</v>
      </c>
      <c r="K135" s="243">
        <v>5</v>
      </c>
      <c r="L135" s="245">
        <v>1000</v>
      </c>
      <c r="M135" s="245">
        <v>1000</v>
      </c>
      <c r="N135" s="245">
        <v>1000</v>
      </c>
      <c r="O135" s="245"/>
      <c r="P135" s="74"/>
      <c r="Q135" s="74"/>
      <c r="R135" s="74"/>
      <c r="S135" s="74"/>
      <c r="T135" s="74"/>
      <c r="U135" s="74"/>
      <c r="V135" s="74"/>
      <c r="W135" s="61"/>
    </row>
    <row r="136" spans="1:23" x14ac:dyDescent="0.35">
      <c r="A136" s="245">
        <v>1</v>
      </c>
      <c r="B136" s="245" t="s">
        <v>252</v>
      </c>
      <c r="C136" s="245"/>
      <c r="D136" s="238" t="s">
        <v>29</v>
      </c>
      <c r="E136" s="238" t="s">
        <v>25</v>
      </c>
      <c r="F136" s="238">
        <v>0</v>
      </c>
      <c r="G136" s="245">
        <v>10</v>
      </c>
      <c r="H136" s="245" t="s">
        <v>178</v>
      </c>
      <c r="I136" s="238" t="s">
        <v>179</v>
      </c>
      <c r="J136" s="243">
        <v>0.5</v>
      </c>
      <c r="K136" s="243">
        <v>5</v>
      </c>
      <c r="L136" s="245">
        <v>1000</v>
      </c>
      <c r="M136" s="245">
        <v>1000</v>
      </c>
      <c r="N136" s="245">
        <v>1000</v>
      </c>
      <c r="O136" s="245"/>
      <c r="P136" s="74"/>
      <c r="Q136" s="74"/>
      <c r="R136" s="74"/>
      <c r="S136" s="74"/>
      <c r="T136" s="74"/>
      <c r="U136" s="74"/>
      <c r="V136" s="74"/>
      <c r="W136" s="61"/>
    </row>
    <row r="137" spans="1:23" x14ac:dyDescent="0.35">
      <c r="A137" s="245">
        <v>2</v>
      </c>
      <c r="B137" s="245" t="s">
        <v>253</v>
      </c>
      <c r="C137" s="245"/>
      <c r="D137" s="238" t="s">
        <v>29</v>
      </c>
      <c r="E137" s="238" t="s">
        <v>25</v>
      </c>
      <c r="F137" s="238">
        <v>0</v>
      </c>
      <c r="G137" s="245">
        <v>10</v>
      </c>
      <c r="H137" s="245" t="s">
        <v>178</v>
      </c>
      <c r="I137" s="238" t="s">
        <v>179</v>
      </c>
      <c r="J137" s="243">
        <v>0.5</v>
      </c>
      <c r="K137" s="243">
        <v>5</v>
      </c>
      <c r="L137" s="245">
        <v>1000</v>
      </c>
      <c r="M137" s="245">
        <v>1000</v>
      </c>
      <c r="N137" s="245">
        <v>1000</v>
      </c>
      <c r="O137" s="245"/>
      <c r="P137" s="74"/>
      <c r="Q137" s="74"/>
      <c r="R137" s="74"/>
      <c r="S137" s="74"/>
      <c r="T137" s="74"/>
      <c r="U137" s="74"/>
      <c r="V137" s="74"/>
      <c r="W137" s="61"/>
    </row>
    <row r="138" spans="1:23" x14ac:dyDescent="0.35">
      <c r="A138" s="245">
        <v>3</v>
      </c>
      <c r="B138" s="245" t="s">
        <v>254</v>
      </c>
      <c r="C138" s="245"/>
      <c r="D138" s="238" t="s">
        <v>29</v>
      </c>
      <c r="E138" s="238" t="s">
        <v>25</v>
      </c>
      <c r="F138" s="238">
        <v>0</v>
      </c>
      <c r="G138" s="245">
        <v>10</v>
      </c>
      <c r="H138" s="245" t="s">
        <v>178</v>
      </c>
      <c r="I138" s="238" t="s">
        <v>179</v>
      </c>
      <c r="J138" s="243">
        <v>0.5</v>
      </c>
      <c r="K138" s="243">
        <v>5</v>
      </c>
      <c r="L138" s="245">
        <v>1000</v>
      </c>
      <c r="M138" s="245">
        <v>1000</v>
      </c>
      <c r="N138" s="245">
        <v>1000</v>
      </c>
      <c r="O138" s="245"/>
      <c r="P138" s="74"/>
      <c r="Q138" s="74"/>
      <c r="R138" s="74"/>
      <c r="S138" s="74"/>
      <c r="T138" s="74"/>
      <c r="U138" s="74"/>
      <c r="V138" s="74"/>
      <c r="W138" s="61"/>
    </row>
    <row r="139" spans="1:23" x14ac:dyDescent="0.35">
      <c r="A139" s="245">
        <v>4</v>
      </c>
      <c r="B139" s="245" t="s">
        <v>255</v>
      </c>
      <c r="C139" s="245"/>
      <c r="D139" s="238" t="s">
        <v>29</v>
      </c>
      <c r="E139" s="238" t="s">
        <v>25</v>
      </c>
      <c r="F139" s="238">
        <v>0</v>
      </c>
      <c r="G139" s="245">
        <v>10</v>
      </c>
      <c r="H139" s="245" t="s">
        <v>178</v>
      </c>
      <c r="I139" s="238" t="s">
        <v>179</v>
      </c>
      <c r="J139" s="243">
        <v>0.5</v>
      </c>
      <c r="K139" s="243">
        <v>5</v>
      </c>
      <c r="L139" s="245">
        <v>1000</v>
      </c>
      <c r="M139" s="245">
        <v>1000</v>
      </c>
      <c r="N139" s="245">
        <v>1000</v>
      </c>
      <c r="O139" s="245"/>
      <c r="P139" s="74"/>
      <c r="Q139" s="74"/>
      <c r="R139" s="74"/>
      <c r="S139" s="74"/>
      <c r="T139" s="74"/>
      <c r="U139" s="74"/>
      <c r="V139" s="74"/>
      <c r="W139" s="61"/>
    </row>
    <row r="140" spans="1:23" x14ac:dyDescent="0.35">
      <c r="A140" s="245">
        <v>5</v>
      </c>
      <c r="B140" s="245" t="s">
        <v>256</v>
      </c>
      <c r="C140" s="245"/>
      <c r="D140" s="238" t="s">
        <v>29</v>
      </c>
      <c r="E140" s="238" t="s">
        <v>25</v>
      </c>
      <c r="F140" s="238">
        <v>0</v>
      </c>
      <c r="G140" s="245">
        <v>10</v>
      </c>
      <c r="H140" s="245" t="s">
        <v>178</v>
      </c>
      <c r="I140" s="238" t="s">
        <v>179</v>
      </c>
      <c r="J140" s="243">
        <v>0.5</v>
      </c>
      <c r="K140" s="243">
        <v>5</v>
      </c>
      <c r="L140" s="245">
        <v>1000</v>
      </c>
      <c r="M140" s="245">
        <v>1000</v>
      </c>
      <c r="N140" s="245">
        <v>1000</v>
      </c>
      <c r="O140" s="245"/>
      <c r="P140" s="74"/>
      <c r="Q140" s="74"/>
      <c r="R140" s="74"/>
      <c r="S140" s="74"/>
      <c r="T140" s="74"/>
      <c r="U140" s="74"/>
      <c r="V140" s="74"/>
      <c r="W140" s="61"/>
    </row>
    <row r="141" spans="1:23" x14ac:dyDescent="0.35">
      <c r="A141" s="245">
        <v>6</v>
      </c>
      <c r="B141" s="245" t="s">
        <v>257</v>
      </c>
      <c r="C141" s="245"/>
      <c r="D141" s="238" t="s">
        <v>29</v>
      </c>
      <c r="E141" s="238" t="s">
        <v>25</v>
      </c>
      <c r="F141" s="238">
        <v>0</v>
      </c>
      <c r="G141" s="245">
        <v>10</v>
      </c>
      <c r="H141" s="245" t="s">
        <v>178</v>
      </c>
      <c r="I141" s="238" t="s">
        <v>179</v>
      </c>
      <c r="J141" s="243">
        <v>0.5</v>
      </c>
      <c r="K141" s="243">
        <v>5</v>
      </c>
      <c r="L141" s="245">
        <v>1000</v>
      </c>
      <c r="M141" s="245">
        <v>1000</v>
      </c>
      <c r="N141" s="245">
        <v>1000</v>
      </c>
      <c r="O141" s="245"/>
      <c r="P141" s="74"/>
      <c r="Q141" s="74"/>
      <c r="R141" s="74"/>
      <c r="S141" s="74"/>
      <c r="T141" s="74"/>
      <c r="U141" s="74"/>
      <c r="V141" s="74"/>
      <c r="W141" s="61"/>
    </row>
    <row r="142" spans="1:23" x14ac:dyDescent="0.35">
      <c r="A142" s="245">
        <v>7</v>
      </c>
      <c r="B142" s="245" t="s">
        <v>258</v>
      </c>
      <c r="C142" s="245"/>
      <c r="D142" s="238" t="s">
        <v>29</v>
      </c>
      <c r="E142" s="238" t="s">
        <v>25</v>
      </c>
      <c r="F142" s="238">
        <v>0</v>
      </c>
      <c r="G142" s="245">
        <v>10</v>
      </c>
      <c r="H142" s="245" t="s">
        <v>178</v>
      </c>
      <c r="I142" s="238" t="s">
        <v>179</v>
      </c>
      <c r="J142" s="243">
        <v>0.5</v>
      </c>
      <c r="K142" s="243">
        <v>5</v>
      </c>
      <c r="L142" s="245">
        <v>1000</v>
      </c>
      <c r="M142" s="245">
        <v>1000</v>
      </c>
      <c r="N142" s="245">
        <v>1000</v>
      </c>
      <c r="O142" s="245"/>
      <c r="P142" s="74"/>
      <c r="Q142" s="74"/>
      <c r="R142" s="74"/>
      <c r="S142" s="74"/>
      <c r="T142" s="74"/>
      <c r="U142" s="74"/>
      <c r="V142" s="74"/>
      <c r="W142" s="61"/>
    </row>
    <row r="143" spans="1:23" ht="13.4" customHeight="1" thickBot="1" x14ac:dyDescent="0.4">
      <c r="A143" s="62"/>
      <c r="B143" s="62"/>
      <c r="C143" s="62"/>
      <c r="D143" s="62"/>
      <c r="E143" s="62"/>
      <c r="F143" s="62"/>
      <c r="G143" s="62"/>
      <c r="H143" s="62"/>
      <c r="I143" s="62"/>
      <c r="J143" s="62"/>
      <c r="K143" s="62"/>
      <c r="L143" s="62"/>
      <c r="M143" s="62"/>
      <c r="N143" s="62"/>
      <c r="O143" s="62"/>
      <c r="P143" s="62"/>
      <c r="Q143" s="62"/>
      <c r="R143" s="62"/>
      <c r="S143" s="62"/>
      <c r="T143" s="62"/>
      <c r="U143" s="62"/>
      <c r="V143" s="62"/>
      <c r="W143" s="63"/>
    </row>
    <row r="144" spans="1:23" ht="13.4" customHeight="1" thickTop="1" x14ac:dyDescent="0.35">
      <c r="A144" s="68"/>
      <c r="B144" s="68"/>
      <c r="C144" s="68"/>
      <c r="D144" s="68"/>
      <c r="E144" s="68"/>
      <c r="F144" s="68"/>
      <c r="G144" s="68"/>
      <c r="H144" s="68"/>
      <c r="I144" s="68"/>
      <c r="J144" s="68"/>
      <c r="K144" s="68"/>
      <c r="L144" s="68"/>
      <c r="M144" s="68"/>
      <c r="N144" s="68"/>
      <c r="O144" s="68"/>
      <c r="P144" s="68"/>
      <c r="Q144" s="68"/>
      <c r="R144" s="68"/>
      <c r="S144" s="68"/>
      <c r="T144" s="68"/>
      <c r="U144" s="68"/>
      <c r="V144" s="68"/>
      <c r="W144" s="64"/>
    </row>
    <row r="145" spans="1:23" ht="14.65" customHeight="1" x14ac:dyDescent="0.35">
      <c r="A145" s="313" t="s">
        <v>7</v>
      </c>
      <c r="B145" s="310"/>
      <c r="C145" s="310"/>
      <c r="D145" s="310"/>
      <c r="E145" s="310"/>
      <c r="F145" s="310"/>
      <c r="G145" s="310"/>
      <c r="H145" s="310"/>
      <c r="I145" s="310"/>
      <c r="J145" s="310"/>
      <c r="K145" s="310"/>
      <c r="L145" s="310"/>
      <c r="M145" s="310"/>
      <c r="N145" s="310"/>
      <c r="O145" s="310"/>
      <c r="P145" s="310"/>
      <c r="Q145" s="310"/>
      <c r="R145" s="310"/>
      <c r="S145" s="310"/>
      <c r="T145" s="310"/>
      <c r="U145" s="310"/>
      <c r="V145" s="311"/>
      <c r="W145" s="64"/>
    </row>
    <row r="146" spans="1:23" x14ac:dyDescent="0.35">
      <c r="A146" s="233" t="s">
        <v>10</v>
      </c>
      <c r="B146" s="233" t="s">
        <v>11</v>
      </c>
      <c r="C146" s="233" t="s">
        <v>12</v>
      </c>
      <c r="D146" s="233" t="s">
        <v>13</v>
      </c>
      <c r="E146" s="233" t="s">
        <v>14</v>
      </c>
      <c r="F146" s="233" t="s">
        <v>15</v>
      </c>
      <c r="G146" s="233" t="s">
        <v>16</v>
      </c>
      <c r="H146" s="233" t="s">
        <v>17</v>
      </c>
      <c r="I146" s="233" t="s">
        <v>18</v>
      </c>
      <c r="J146" s="233" t="s">
        <v>19</v>
      </c>
      <c r="K146" s="233" t="s">
        <v>20</v>
      </c>
      <c r="L146" s="233" t="s">
        <v>147</v>
      </c>
      <c r="M146" s="233" t="s">
        <v>148</v>
      </c>
      <c r="N146" s="59" t="s">
        <v>149</v>
      </c>
      <c r="O146" s="59" t="s">
        <v>150</v>
      </c>
      <c r="P146" s="59" t="s">
        <v>151</v>
      </c>
      <c r="Q146" s="233" t="s">
        <v>152</v>
      </c>
      <c r="R146" s="233" t="s">
        <v>153</v>
      </c>
      <c r="S146" s="233" t="s">
        <v>154</v>
      </c>
      <c r="T146" s="233" t="s">
        <v>155</v>
      </c>
      <c r="U146" s="233" t="s">
        <v>156</v>
      </c>
      <c r="V146" s="233" t="s">
        <v>157</v>
      </c>
      <c r="W146" s="116"/>
    </row>
    <row r="147" spans="1:23" x14ac:dyDescent="0.3">
      <c r="A147" s="245" t="s">
        <v>158</v>
      </c>
      <c r="B147" s="241" t="s">
        <v>159</v>
      </c>
      <c r="C147" s="241">
        <v>0</v>
      </c>
      <c r="D147" s="246" t="s">
        <v>259</v>
      </c>
      <c r="E147" s="246" t="s">
        <v>259</v>
      </c>
      <c r="F147" s="246"/>
      <c r="G147" s="151" t="s">
        <v>29</v>
      </c>
      <c r="H147" s="246" t="s">
        <v>260</v>
      </c>
      <c r="I147" s="246"/>
      <c r="J147" s="246"/>
      <c r="K147" s="65">
        <v>36892</v>
      </c>
      <c r="L147" s="60" t="s">
        <v>162</v>
      </c>
      <c r="M147" s="65" t="s">
        <v>45</v>
      </c>
      <c r="N147" s="238" t="s">
        <v>163</v>
      </c>
      <c r="O147" s="238" t="s">
        <v>25</v>
      </c>
      <c r="P147" s="238" t="s">
        <v>164</v>
      </c>
      <c r="Q147" s="117" t="s">
        <v>25</v>
      </c>
      <c r="R147" s="117" t="s">
        <v>45</v>
      </c>
      <c r="S147" s="246" t="s">
        <v>165</v>
      </c>
      <c r="T147" s="238">
        <v>250000</v>
      </c>
      <c r="U147" s="239">
        <f>10/60</f>
        <v>0.16666666666666666</v>
      </c>
      <c r="V147" s="239">
        <v>0.1</v>
      </c>
      <c r="W147" s="118"/>
    </row>
    <row r="148" spans="1:23" x14ac:dyDescent="0.35">
      <c r="A148" s="85"/>
      <c r="B148" s="85"/>
      <c r="C148" s="85"/>
      <c r="D148" s="85"/>
      <c r="E148" s="85"/>
      <c r="F148" s="85"/>
      <c r="G148" s="85"/>
      <c r="H148" s="85"/>
      <c r="I148" s="85"/>
      <c r="J148" s="85"/>
      <c r="K148" s="85"/>
      <c r="L148" s="85"/>
      <c r="M148" s="85"/>
      <c r="N148" s="85"/>
      <c r="O148" s="85"/>
      <c r="P148" s="85"/>
      <c r="Q148" s="85"/>
      <c r="R148" s="85"/>
      <c r="S148" s="85"/>
      <c r="T148" s="85"/>
      <c r="U148" s="85"/>
      <c r="V148" s="85"/>
      <c r="W148" s="64"/>
    </row>
    <row r="149" spans="1:23" ht="14.65" customHeight="1" x14ac:dyDescent="0.35">
      <c r="A149" s="313" t="s">
        <v>36</v>
      </c>
      <c r="B149" s="310"/>
      <c r="C149" s="310"/>
      <c r="D149" s="310"/>
      <c r="E149" s="310"/>
      <c r="F149" s="310"/>
      <c r="G149" s="310"/>
      <c r="H149" s="310"/>
      <c r="I149" s="310"/>
      <c r="J149" s="310"/>
      <c r="K149" s="310"/>
      <c r="L149" s="310"/>
      <c r="M149" s="310"/>
      <c r="N149" s="310"/>
      <c r="O149" s="311"/>
      <c r="P149" s="85"/>
      <c r="Q149" s="85"/>
      <c r="R149" s="85"/>
      <c r="S149" s="85"/>
      <c r="T149" s="85"/>
      <c r="U149" s="85"/>
      <c r="V149" s="85"/>
      <c r="W149" s="64"/>
    </row>
    <row r="150" spans="1:23" x14ac:dyDescent="0.35">
      <c r="A150" s="233" t="s">
        <v>13</v>
      </c>
      <c r="B150" s="233" t="s">
        <v>14</v>
      </c>
      <c r="C150" s="233" t="s">
        <v>15</v>
      </c>
      <c r="D150" s="233" t="s">
        <v>16</v>
      </c>
      <c r="E150" s="233" t="s">
        <v>166</v>
      </c>
      <c r="F150" s="233" t="s">
        <v>167</v>
      </c>
      <c r="G150" s="233" t="s">
        <v>168</v>
      </c>
      <c r="H150" s="233" t="s">
        <v>169</v>
      </c>
      <c r="I150" s="233" t="s">
        <v>170</v>
      </c>
      <c r="J150" s="233" t="s">
        <v>171</v>
      </c>
      <c r="K150" s="233" t="s">
        <v>172</v>
      </c>
      <c r="L150" s="233" t="s">
        <v>173</v>
      </c>
      <c r="M150" s="233" t="s">
        <v>174</v>
      </c>
      <c r="N150" s="233" t="s">
        <v>175</v>
      </c>
      <c r="O150" s="233" t="s">
        <v>176</v>
      </c>
      <c r="P150" s="85"/>
      <c r="Q150" s="85"/>
      <c r="R150" s="85"/>
      <c r="S150" s="85"/>
      <c r="T150" s="85"/>
      <c r="U150" s="85"/>
      <c r="V150" s="85"/>
      <c r="W150" s="64"/>
    </row>
    <row r="151" spans="1:23" x14ac:dyDescent="0.3">
      <c r="A151" s="246">
        <v>0</v>
      </c>
      <c r="B151" s="150" t="s">
        <v>261</v>
      </c>
      <c r="C151" s="150" t="s">
        <v>261</v>
      </c>
      <c r="D151" s="151" t="s">
        <v>29</v>
      </c>
      <c r="E151" s="239" t="s">
        <v>25</v>
      </c>
      <c r="F151" s="239">
        <v>0</v>
      </c>
      <c r="G151" s="239">
        <v>2</v>
      </c>
      <c r="H151" s="246" t="s">
        <v>178</v>
      </c>
      <c r="I151" s="239" t="s">
        <v>179</v>
      </c>
      <c r="J151" s="244">
        <v>1</v>
      </c>
      <c r="K151" s="244">
        <v>5</v>
      </c>
      <c r="L151" s="246">
        <v>1000</v>
      </c>
      <c r="M151" s="246">
        <v>1000</v>
      </c>
      <c r="N151" s="246">
        <v>1000</v>
      </c>
      <c r="O151" s="246"/>
      <c r="P151" s="85"/>
      <c r="Q151" s="85"/>
      <c r="R151" s="85"/>
      <c r="S151" s="85"/>
      <c r="T151" s="85"/>
      <c r="U151" s="85"/>
      <c r="V151" s="85"/>
      <c r="W151" s="64"/>
    </row>
    <row r="152" spans="1:23" x14ac:dyDescent="0.3">
      <c r="A152" s="246">
        <v>1</v>
      </c>
      <c r="B152" s="141" t="s">
        <v>262</v>
      </c>
      <c r="C152" s="141" t="s">
        <v>262</v>
      </c>
      <c r="D152" s="151" t="s">
        <v>29</v>
      </c>
      <c r="E152" s="239" t="s">
        <v>25</v>
      </c>
      <c r="F152" s="239">
        <v>0</v>
      </c>
      <c r="G152" s="246">
        <v>2</v>
      </c>
      <c r="H152" s="246" t="s">
        <v>178</v>
      </c>
      <c r="I152" s="239" t="s">
        <v>179</v>
      </c>
      <c r="J152" s="244">
        <v>1</v>
      </c>
      <c r="K152" s="244">
        <v>5</v>
      </c>
      <c r="L152" s="246">
        <v>1000</v>
      </c>
      <c r="M152" s="246">
        <v>1000</v>
      </c>
      <c r="N152" s="246">
        <v>1000</v>
      </c>
      <c r="O152" s="246"/>
      <c r="P152" s="85"/>
      <c r="Q152" s="85"/>
      <c r="R152" s="85"/>
      <c r="S152" s="85"/>
      <c r="T152" s="85"/>
      <c r="U152" s="85"/>
      <c r="V152" s="85"/>
      <c r="W152" s="64"/>
    </row>
    <row r="153" spans="1:23" x14ac:dyDescent="0.3">
      <c r="A153" s="246">
        <v>2</v>
      </c>
      <c r="B153" s="150" t="s">
        <v>263</v>
      </c>
      <c r="C153" s="150" t="s">
        <v>263</v>
      </c>
      <c r="D153" s="151" t="s">
        <v>29</v>
      </c>
      <c r="E153" s="239" t="s">
        <v>25</v>
      </c>
      <c r="F153" s="239">
        <v>0</v>
      </c>
      <c r="G153" s="246">
        <v>2</v>
      </c>
      <c r="H153" s="246" t="s">
        <v>178</v>
      </c>
      <c r="I153" s="239" t="s">
        <v>179</v>
      </c>
      <c r="J153" s="244">
        <v>1</v>
      </c>
      <c r="K153" s="244">
        <v>5</v>
      </c>
      <c r="L153" s="246">
        <v>1000</v>
      </c>
      <c r="M153" s="246">
        <v>1000</v>
      </c>
      <c r="N153" s="246">
        <v>1000</v>
      </c>
      <c r="O153" s="246"/>
      <c r="P153" s="85"/>
      <c r="Q153" s="85"/>
      <c r="R153" s="85"/>
      <c r="S153" s="85"/>
      <c r="T153" s="85"/>
      <c r="U153" s="85"/>
      <c r="V153" s="85"/>
      <c r="W153" s="64"/>
    </row>
    <row r="154" spans="1:23" x14ac:dyDescent="0.3">
      <c r="A154" s="246">
        <v>3</v>
      </c>
      <c r="B154" s="150" t="s">
        <v>264</v>
      </c>
      <c r="C154" s="150" t="s">
        <v>264</v>
      </c>
      <c r="D154" s="151" t="s">
        <v>29</v>
      </c>
      <c r="E154" s="239" t="s">
        <v>25</v>
      </c>
      <c r="F154" s="239">
        <v>0</v>
      </c>
      <c r="G154" s="246">
        <v>2</v>
      </c>
      <c r="H154" s="246" t="s">
        <v>178</v>
      </c>
      <c r="I154" s="239" t="s">
        <v>179</v>
      </c>
      <c r="J154" s="244">
        <v>1</v>
      </c>
      <c r="K154" s="244">
        <v>5</v>
      </c>
      <c r="L154" s="246">
        <v>1000</v>
      </c>
      <c r="M154" s="246">
        <v>1000</v>
      </c>
      <c r="N154" s="246">
        <v>1000</v>
      </c>
      <c r="O154" s="246"/>
      <c r="P154" s="85"/>
      <c r="Q154" s="85"/>
      <c r="R154" s="85"/>
      <c r="S154" s="85"/>
      <c r="T154" s="85"/>
      <c r="U154" s="85"/>
      <c r="V154" s="85"/>
      <c r="W154" s="64"/>
    </row>
    <row r="155" spans="1:23" x14ac:dyDescent="0.3">
      <c r="A155" s="246">
        <v>4</v>
      </c>
      <c r="B155" s="141" t="s">
        <v>265</v>
      </c>
      <c r="C155" s="141" t="s">
        <v>265</v>
      </c>
      <c r="D155" s="151" t="s">
        <v>29</v>
      </c>
      <c r="E155" s="239" t="s">
        <v>25</v>
      </c>
      <c r="F155" s="239">
        <v>0</v>
      </c>
      <c r="G155" s="246">
        <v>5</v>
      </c>
      <c r="H155" s="246" t="s">
        <v>178</v>
      </c>
      <c r="I155" s="239" t="s">
        <v>179</v>
      </c>
      <c r="J155" s="244">
        <v>1</v>
      </c>
      <c r="K155" s="244">
        <v>5</v>
      </c>
      <c r="L155" s="246">
        <v>1000</v>
      </c>
      <c r="M155" s="246">
        <v>1000</v>
      </c>
      <c r="N155" s="246">
        <v>1000</v>
      </c>
      <c r="O155" s="246"/>
      <c r="P155" s="85"/>
      <c r="Q155" s="85"/>
      <c r="R155" s="85"/>
      <c r="S155" s="85"/>
      <c r="T155" s="85"/>
      <c r="U155" s="85"/>
      <c r="V155" s="85"/>
      <c r="W155" s="64"/>
    </row>
    <row r="156" spans="1:23" x14ac:dyDescent="0.3">
      <c r="A156" s="246">
        <v>5</v>
      </c>
      <c r="B156" s="141" t="s">
        <v>266</v>
      </c>
      <c r="C156" s="141" t="s">
        <v>266</v>
      </c>
      <c r="D156" s="151" t="s">
        <v>29</v>
      </c>
      <c r="E156" s="239" t="s">
        <v>25</v>
      </c>
      <c r="F156" s="239">
        <v>0</v>
      </c>
      <c r="G156" s="246">
        <v>5</v>
      </c>
      <c r="H156" s="246" t="s">
        <v>178</v>
      </c>
      <c r="I156" s="239" t="s">
        <v>179</v>
      </c>
      <c r="J156" s="244">
        <v>1</v>
      </c>
      <c r="K156" s="244">
        <v>5</v>
      </c>
      <c r="L156" s="246">
        <v>1000</v>
      </c>
      <c r="M156" s="246">
        <v>1000</v>
      </c>
      <c r="N156" s="246">
        <v>1000</v>
      </c>
      <c r="O156" s="246"/>
      <c r="P156" s="85"/>
      <c r="Q156" s="85"/>
      <c r="R156" s="85"/>
      <c r="S156" s="85"/>
      <c r="T156" s="85"/>
      <c r="U156" s="85"/>
      <c r="V156" s="85"/>
      <c r="W156" s="64"/>
    </row>
    <row r="157" spans="1:23" x14ac:dyDescent="0.3">
      <c r="A157" s="246">
        <v>6</v>
      </c>
      <c r="B157" s="141" t="s">
        <v>267</v>
      </c>
      <c r="C157" s="141" t="s">
        <v>267</v>
      </c>
      <c r="D157" s="151" t="s">
        <v>29</v>
      </c>
      <c r="E157" s="239" t="s">
        <v>25</v>
      </c>
      <c r="F157" s="239">
        <v>0</v>
      </c>
      <c r="G157" s="246">
        <v>2</v>
      </c>
      <c r="H157" s="246" t="s">
        <v>178</v>
      </c>
      <c r="I157" s="239" t="s">
        <v>179</v>
      </c>
      <c r="J157" s="244">
        <v>1</v>
      </c>
      <c r="K157" s="244">
        <v>5</v>
      </c>
      <c r="L157" s="246">
        <v>1000</v>
      </c>
      <c r="M157" s="246">
        <v>1000</v>
      </c>
      <c r="N157" s="246">
        <v>1000</v>
      </c>
      <c r="O157" s="246"/>
      <c r="P157" s="85"/>
      <c r="Q157" s="85"/>
      <c r="R157" s="85"/>
      <c r="S157" s="85"/>
      <c r="T157" s="85"/>
      <c r="U157" s="85"/>
      <c r="V157" s="85"/>
      <c r="W157" s="64"/>
    </row>
    <row r="158" spans="1:23" x14ac:dyDescent="0.3">
      <c r="A158" s="246">
        <v>7</v>
      </c>
      <c r="B158" s="141" t="s">
        <v>268</v>
      </c>
      <c r="C158" s="141" t="s">
        <v>268</v>
      </c>
      <c r="D158" s="151" t="s">
        <v>29</v>
      </c>
      <c r="E158" s="239" t="s">
        <v>25</v>
      </c>
      <c r="F158" s="239">
        <v>0</v>
      </c>
      <c r="G158" s="246">
        <v>2</v>
      </c>
      <c r="H158" s="246" t="s">
        <v>178</v>
      </c>
      <c r="I158" s="239" t="s">
        <v>179</v>
      </c>
      <c r="J158" s="244">
        <v>1</v>
      </c>
      <c r="K158" s="244">
        <v>5</v>
      </c>
      <c r="L158" s="246">
        <v>1000</v>
      </c>
      <c r="M158" s="246">
        <v>1000</v>
      </c>
      <c r="N158" s="246">
        <v>1000</v>
      </c>
      <c r="O158" s="246"/>
      <c r="P158" s="85"/>
      <c r="Q158" s="85"/>
      <c r="R158" s="85"/>
      <c r="S158" s="85"/>
      <c r="T158" s="85"/>
      <c r="U158" s="85"/>
      <c r="V158" s="85"/>
      <c r="W158" s="64"/>
    </row>
    <row r="159" spans="1:23" ht="13.4" customHeight="1" thickBot="1" x14ac:dyDescent="0.4">
      <c r="A159" s="66"/>
      <c r="B159" s="85"/>
      <c r="C159" s="85"/>
      <c r="D159" s="66"/>
      <c r="E159" s="66"/>
      <c r="F159" s="66"/>
      <c r="G159" s="66"/>
      <c r="H159" s="66"/>
      <c r="I159" s="66"/>
      <c r="J159" s="66"/>
      <c r="K159" s="66"/>
      <c r="L159" s="66"/>
      <c r="M159" s="66"/>
      <c r="N159" s="66"/>
      <c r="O159" s="66"/>
      <c r="P159" s="66"/>
      <c r="Q159" s="66"/>
      <c r="R159" s="66"/>
      <c r="S159" s="66"/>
      <c r="T159" s="66"/>
      <c r="U159" s="66"/>
      <c r="V159" s="66"/>
      <c r="W159" s="67"/>
    </row>
    <row r="160" spans="1:23" ht="13.4" customHeight="1" thickTop="1" x14ac:dyDescent="0.35">
      <c r="A160" s="69"/>
      <c r="B160" s="69"/>
      <c r="C160" s="69"/>
      <c r="D160" s="69"/>
      <c r="E160" s="69"/>
      <c r="F160" s="69"/>
      <c r="G160" s="69"/>
      <c r="H160" s="69"/>
      <c r="I160" s="69"/>
      <c r="J160" s="69"/>
      <c r="K160" s="69"/>
      <c r="L160" s="69"/>
      <c r="M160" s="69"/>
      <c r="N160" s="69"/>
      <c r="O160" s="69"/>
      <c r="P160" s="69"/>
      <c r="Q160" s="69"/>
      <c r="R160" s="69"/>
      <c r="S160" s="69"/>
      <c r="T160" s="69"/>
      <c r="U160" s="69"/>
      <c r="V160" s="69"/>
      <c r="W160" s="61"/>
    </row>
    <row r="161" spans="1:23" ht="14.65" customHeight="1" x14ac:dyDescent="0.35">
      <c r="A161" s="312" t="s">
        <v>7</v>
      </c>
      <c r="B161" s="310"/>
      <c r="C161" s="310"/>
      <c r="D161" s="310"/>
      <c r="E161" s="310"/>
      <c r="F161" s="310"/>
      <c r="G161" s="310"/>
      <c r="H161" s="310"/>
      <c r="I161" s="310"/>
      <c r="J161" s="310"/>
      <c r="K161" s="310"/>
      <c r="L161" s="310"/>
      <c r="M161" s="310"/>
      <c r="N161" s="310"/>
      <c r="O161" s="310"/>
      <c r="P161" s="310"/>
      <c r="Q161" s="310"/>
      <c r="R161" s="310"/>
      <c r="S161" s="310"/>
      <c r="T161" s="310"/>
      <c r="U161" s="310"/>
      <c r="V161" s="311"/>
      <c r="W161" s="61"/>
    </row>
    <row r="162" spans="1:23" x14ac:dyDescent="0.35">
      <c r="A162" s="59" t="s">
        <v>10</v>
      </c>
      <c r="B162" s="59" t="s">
        <v>11</v>
      </c>
      <c r="C162" s="59" t="s">
        <v>12</v>
      </c>
      <c r="D162" s="59" t="s">
        <v>13</v>
      </c>
      <c r="E162" s="59" t="s">
        <v>14</v>
      </c>
      <c r="F162" s="59" t="s">
        <v>15</v>
      </c>
      <c r="G162" s="59" t="s">
        <v>16</v>
      </c>
      <c r="H162" s="59" t="s">
        <v>17</v>
      </c>
      <c r="I162" s="59" t="s">
        <v>18</v>
      </c>
      <c r="J162" s="59" t="s">
        <v>19</v>
      </c>
      <c r="K162" s="59" t="s">
        <v>20</v>
      </c>
      <c r="L162" s="59" t="s">
        <v>147</v>
      </c>
      <c r="M162" s="59" t="s">
        <v>148</v>
      </c>
      <c r="N162" s="59" t="s">
        <v>149</v>
      </c>
      <c r="O162" s="59" t="s">
        <v>150</v>
      </c>
      <c r="P162" s="59" t="s">
        <v>151</v>
      </c>
      <c r="Q162" s="59" t="s">
        <v>152</v>
      </c>
      <c r="R162" s="59" t="s">
        <v>153</v>
      </c>
      <c r="S162" s="59" t="s">
        <v>154</v>
      </c>
      <c r="T162" s="59" t="s">
        <v>155</v>
      </c>
      <c r="U162" s="59" t="s">
        <v>156</v>
      </c>
      <c r="V162" s="59" t="s">
        <v>157</v>
      </c>
      <c r="W162" s="111"/>
    </row>
    <row r="163" spans="1:23" x14ac:dyDescent="0.3">
      <c r="A163" s="245" t="s">
        <v>158</v>
      </c>
      <c r="B163" s="240" t="s">
        <v>159</v>
      </c>
      <c r="C163" s="240">
        <v>0</v>
      </c>
      <c r="D163" s="245" t="s">
        <v>269</v>
      </c>
      <c r="E163" s="245" t="s">
        <v>269</v>
      </c>
      <c r="F163" s="245"/>
      <c r="G163" s="151" t="s">
        <v>29</v>
      </c>
      <c r="H163" s="245" t="s">
        <v>161</v>
      </c>
      <c r="I163" s="245"/>
      <c r="J163" s="245"/>
      <c r="K163" s="60">
        <v>36892</v>
      </c>
      <c r="L163" s="60" t="s">
        <v>162</v>
      </c>
      <c r="M163" s="60" t="s">
        <v>45</v>
      </c>
      <c r="N163" s="238" t="s">
        <v>163</v>
      </c>
      <c r="O163" s="238" t="s">
        <v>25</v>
      </c>
      <c r="P163" s="238" t="s">
        <v>164</v>
      </c>
      <c r="Q163" s="113" t="s">
        <v>25</v>
      </c>
      <c r="R163" s="113" t="s">
        <v>45</v>
      </c>
      <c r="S163" s="245" t="s">
        <v>165</v>
      </c>
      <c r="T163" s="238">
        <v>250000</v>
      </c>
      <c r="U163" s="238">
        <f>10/60</f>
        <v>0.16666666666666666</v>
      </c>
      <c r="V163" s="238">
        <v>0.1</v>
      </c>
      <c r="W163" s="114"/>
    </row>
    <row r="164" spans="1:23" x14ac:dyDescent="0.35">
      <c r="A164" s="74"/>
      <c r="B164" s="74"/>
      <c r="C164" s="74"/>
      <c r="D164" s="74"/>
      <c r="E164" s="74"/>
      <c r="F164" s="74"/>
      <c r="G164" s="74"/>
      <c r="H164" s="74"/>
      <c r="I164" s="74"/>
      <c r="J164" s="74"/>
      <c r="K164" s="74"/>
      <c r="L164" s="74"/>
      <c r="M164" s="74"/>
      <c r="N164" s="74"/>
      <c r="O164" s="74"/>
      <c r="P164" s="74"/>
      <c r="Q164" s="74"/>
      <c r="R164" s="74"/>
      <c r="S164" s="74"/>
      <c r="T164" s="74"/>
      <c r="U164" s="74"/>
      <c r="V164" s="74"/>
      <c r="W164" s="61"/>
    </row>
    <row r="165" spans="1:23" ht="14.65" customHeight="1" x14ac:dyDescent="0.35">
      <c r="A165" s="312" t="s">
        <v>36</v>
      </c>
      <c r="B165" s="310"/>
      <c r="C165" s="310"/>
      <c r="D165" s="310"/>
      <c r="E165" s="310"/>
      <c r="F165" s="310"/>
      <c r="G165" s="310"/>
      <c r="H165" s="310"/>
      <c r="I165" s="310"/>
      <c r="J165" s="310"/>
      <c r="K165" s="310"/>
      <c r="L165" s="310"/>
      <c r="M165" s="310"/>
      <c r="N165" s="310"/>
      <c r="O165" s="311"/>
      <c r="P165" s="74"/>
      <c r="Q165" s="74"/>
      <c r="R165" s="74"/>
      <c r="S165" s="74"/>
      <c r="T165" s="74"/>
      <c r="U165" s="74"/>
      <c r="V165" s="74"/>
      <c r="W165" s="61"/>
    </row>
    <row r="166" spans="1:23" x14ac:dyDescent="0.35">
      <c r="A166" s="59" t="s">
        <v>13</v>
      </c>
      <c r="B166" s="59" t="s">
        <v>14</v>
      </c>
      <c r="C166" s="59" t="s">
        <v>15</v>
      </c>
      <c r="D166" s="59" t="s">
        <v>16</v>
      </c>
      <c r="E166" s="59" t="s">
        <v>166</v>
      </c>
      <c r="F166" s="59" t="s">
        <v>167</v>
      </c>
      <c r="G166" s="59" t="s">
        <v>168</v>
      </c>
      <c r="H166" s="59" t="s">
        <v>169</v>
      </c>
      <c r="I166" s="59" t="s">
        <v>170</v>
      </c>
      <c r="J166" s="59" t="s">
        <v>171</v>
      </c>
      <c r="K166" s="59" t="s">
        <v>172</v>
      </c>
      <c r="L166" s="59" t="s">
        <v>173</v>
      </c>
      <c r="M166" s="59" t="s">
        <v>174</v>
      </c>
      <c r="N166" s="59" t="s">
        <v>175</v>
      </c>
      <c r="O166" s="59" t="s">
        <v>176</v>
      </c>
      <c r="P166" s="74"/>
      <c r="Q166" s="74"/>
      <c r="R166" s="74"/>
      <c r="S166" s="74"/>
      <c r="T166" s="74"/>
      <c r="U166" s="74"/>
      <c r="V166" s="74"/>
      <c r="W166" s="61"/>
    </row>
    <row r="167" spans="1:23" x14ac:dyDescent="0.3">
      <c r="A167" s="245">
        <v>0</v>
      </c>
      <c r="B167" s="141" t="s">
        <v>270</v>
      </c>
      <c r="C167" s="141" t="s">
        <v>270</v>
      </c>
      <c r="D167" s="151" t="s">
        <v>29</v>
      </c>
      <c r="E167" s="238" t="s">
        <v>25</v>
      </c>
      <c r="F167" s="238">
        <v>0</v>
      </c>
      <c r="G167" s="238">
        <v>2</v>
      </c>
      <c r="H167" s="245" t="s">
        <v>178</v>
      </c>
      <c r="I167" s="238" t="s">
        <v>179</v>
      </c>
      <c r="J167" s="243">
        <v>1</v>
      </c>
      <c r="K167" s="243">
        <v>5</v>
      </c>
      <c r="L167" s="245">
        <v>1000</v>
      </c>
      <c r="M167" s="245">
        <v>1000</v>
      </c>
      <c r="N167" s="245">
        <v>1000</v>
      </c>
      <c r="O167" s="245"/>
      <c r="P167" s="74"/>
      <c r="Q167" s="74"/>
      <c r="R167" s="74"/>
      <c r="S167" s="74"/>
      <c r="T167" s="74"/>
      <c r="U167" s="74"/>
      <c r="V167" s="74"/>
      <c r="W167" s="61"/>
    </row>
    <row r="168" spans="1:23" x14ac:dyDescent="0.3">
      <c r="A168" s="245">
        <v>1</v>
      </c>
      <c r="B168" s="141" t="s">
        <v>271</v>
      </c>
      <c r="C168" s="141" t="s">
        <v>271</v>
      </c>
      <c r="D168" s="151" t="s">
        <v>29</v>
      </c>
      <c r="E168" s="238" t="s">
        <v>25</v>
      </c>
      <c r="F168" s="238">
        <v>0</v>
      </c>
      <c r="G168" s="245">
        <v>2</v>
      </c>
      <c r="H168" s="245" t="s">
        <v>178</v>
      </c>
      <c r="I168" s="238" t="s">
        <v>179</v>
      </c>
      <c r="J168" s="243">
        <v>1</v>
      </c>
      <c r="K168" s="243">
        <v>5</v>
      </c>
      <c r="L168" s="245">
        <v>1000</v>
      </c>
      <c r="M168" s="245">
        <v>1000</v>
      </c>
      <c r="N168" s="245">
        <v>1000</v>
      </c>
      <c r="O168" s="245"/>
      <c r="P168" s="74"/>
      <c r="Q168" s="74"/>
      <c r="R168" s="74"/>
      <c r="S168" s="74"/>
      <c r="T168" s="74"/>
      <c r="U168" s="74"/>
      <c r="V168" s="74"/>
      <c r="W168" s="61"/>
    </row>
    <row r="169" spans="1:23" x14ac:dyDescent="0.3">
      <c r="A169" s="245">
        <v>2</v>
      </c>
      <c r="B169" s="141" t="s">
        <v>272</v>
      </c>
      <c r="C169" s="141" t="s">
        <v>272</v>
      </c>
      <c r="D169" s="151" t="s">
        <v>29</v>
      </c>
      <c r="E169" s="238" t="s">
        <v>25</v>
      </c>
      <c r="F169" s="238">
        <v>0</v>
      </c>
      <c r="G169" s="245">
        <v>2</v>
      </c>
      <c r="H169" s="245" t="s">
        <v>178</v>
      </c>
      <c r="I169" s="238" t="s">
        <v>179</v>
      </c>
      <c r="J169" s="243">
        <v>1</v>
      </c>
      <c r="K169" s="243">
        <v>10</v>
      </c>
      <c r="L169" s="245">
        <v>1000</v>
      </c>
      <c r="M169" s="245">
        <v>1000</v>
      </c>
      <c r="N169" s="245">
        <v>1000</v>
      </c>
      <c r="O169" s="245"/>
      <c r="P169" s="74"/>
      <c r="Q169" s="74"/>
      <c r="R169" s="74"/>
      <c r="S169" s="74"/>
      <c r="T169" s="74"/>
      <c r="U169" s="74"/>
      <c r="V169" s="74"/>
      <c r="W169" s="61"/>
    </row>
    <row r="170" spans="1:23" x14ac:dyDescent="0.3">
      <c r="A170" s="245">
        <v>3</v>
      </c>
      <c r="B170" s="141" t="s">
        <v>273</v>
      </c>
      <c r="C170" s="141" t="s">
        <v>273</v>
      </c>
      <c r="D170" s="151" t="s">
        <v>29</v>
      </c>
      <c r="E170" s="238" t="s">
        <v>25</v>
      </c>
      <c r="F170" s="238">
        <v>0</v>
      </c>
      <c r="G170" s="245">
        <v>2</v>
      </c>
      <c r="H170" s="245" t="s">
        <v>178</v>
      </c>
      <c r="I170" s="238" t="s">
        <v>179</v>
      </c>
      <c r="J170" s="243">
        <v>1</v>
      </c>
      <c r="K170" s="243">
        <v>10</v>
      </c>
      <c r="L170" s="245">
        <v>1000</v>
      </c>
      <c r="M170" s="245">
        <v>1000</v>
      </c>
      <c r="N170" s="245">
        <v>1000</v>
      </c>
      <c r="O170" s="245"/>
      <c r="P170" s="74"/>
      <c r="Q170" s="74"/>
      <c r="R170" s="74"/>
      <c r="S170" s="74"/>
      <c r="T170" s="74"/>
      <c r="U170" s="74"/>
      <c r="V170" s="74"/>
      <c r="W170" s="61"/>
    </row>
    <row r="171" spans="1:23" x14ac:dyDescent="0.3">
      <c r="A171" s="245">
        <v>4</v>
      </c>
      <c r="B171" s="141" t="s">
        <v>274</v>
      </c>
      <c r="C171" s="141" t="s">
        <v>274</v>
      </c>
      <c r="D171" s="151" t="s">
        <v>29</v>
      </c>
      <c r="E171" s="238" t="s">
        <v>25</v>
      </c>
      <c r="F171" s="238">
        <v>0</v>
      </c>
      <c r="G171" s="245">
        <v>2</v>
      </c>
      <c r="H171" s="245" t="s">
        <v>178</v>
      </c>
      <c r="I171" s="238" t="s">
        <v>179</v>
      </c>
      <c r="J171" s="243">
        <v>1</v>
      </c>
      <c r="K171" s="243">
        <v>5</v>
      </c>
      <c r="L171" s="245">
        <v>1000</v>
      </c>
      <c r="M171" s="245">
        <v>1000</v>
      </c>
      <c r="N171" s="245">
        <v>1000</v>
      </c>
      <c r="O171" s="245"/>
      <c r="P171" s="74"/>
      <c r="Q171" s="74"/>
      <c r="R171" s="74"/>
      <c r="S171" s="74"/>
      <c r="T171" s="74"/>
      <c r="U171" s="74"/>
      <c r="V171" s="74"/>
      <c r="W171" s="61"/>
    </row>
    <row r="172" spans="1:23" x14ac:dyDescent="0.3">
      <c r="A172" s="245">
        <v>5</v>
      </c>
      <c r="B172" s="141" t="s">
        <v>275</v>
      </c>
      <c r="C172" s="141" t="s">
        <v>275</v>
      </c>
      <c r="D172" s="151" t="s">
        <v>29</v>
      </c>
      <c r="E172" s="238" t="s">
        <v>25</v>
      </c>
      <c r="F172" s="238">
        <v>0</v>
      </c>
      <c r="G172" s="245">
        <v>2</v>
      </c>
      <c r="H172" s="245" t="s">
        <v>178</v>
      </c>
      <c r="I172" s="238" t="s">
        <v>179</v>
      </c>
      <c r="J172" s="243">
        <v>1</v>
      </c>
      <c r="K172" s="243">
        <v>5</v>
      </c>
      <c r="L172" s="245">
        <v>1000</v>
      </c>
      <c r="M172" s="245">
        <v>1000</v>
      </c>
      <c r="N172" s="245">
        <v>1000</v>
      </c>
      <c r="O172" s="245"/>
      <c r="P172" s="74"/>
      <c r="Q172" s="74"/>
      <c r="R172" s="74"/>
      <c r="S172" s="74"/>
      <c r="T172" s="74"/>
      <c r="U172" s="74"/>
      <c r="V172" s="74"/>
      <c r="W172" s="61"/>
    </row>
    <row r="173" spans="1:23" x14ac:dyDescent="0.3">
      <c r="A173" s="245">
        <v>6</v>
      </c>
      <c r="B173" s="141" t="s">
        <v>276</v>
      </c>
      <c r="C173" s="141" t="s">
        <v>276</v>
      </c>
      <c r="D173" s="151" t="s">
        <v>29</v>
      </c>
      <c r="E173" s="238" t="s">
        <v>25</v>
      </c>
      <c r="F173" s="238">
        <v>0</v>
      </c>
      <c r="G173" s="245">
        <v>2</v>
      </c>
      <c r="H173" s="245" t="s">
        <v>178</v>
      </c>
      <c r="I173" s="238" t="s">
        <v>179</v>
      </c>
      <c r="J173" s="243">
        <v>1</v>
      </c>
      <c r="K173" s="243">
        <v>5</v>
      </c>
      <c r="L173" s="245">
        <v>1000</v>
      </c>
      <c r="M173" s="245">
        <v>1000</v>
      </c>
      <c r="N173" s="245">
        <v>1000</v>
      </c>
      <c r="O173" s="245"/>
      <c r="P173" s="74"/>
      <c r="Q173" s="74"/>
      <c r="R173" s="74"/>
      <c r="S173" s="74"/>
      <c r="T173" s="74"/>
      <c r="U173" s="74"/>
      <c r="V173" s="74"/>
      <c r="W173" s="61"/>
    </row>
    <row r="174" spans="1:23" x14ac:dyDescent="0.3">
      <c r="A174" s="245">
        <v>7</v>
      </c>
      <c r="B174" s="141" t="s">
        <v>277</v>
      </c>
      <c r="C174" s="141" t="s">
        <v>277</v>
      </c>
      <c r="D174" s="151" t="s">
        <v>29</v>
      </c>
      <c r="E174" s="238" t="s">
        <v>25</v>
      </c>
      <c r="F174" s="238">
        <v>0</v>
      </c>
      <c r="G174" s="245">
        <v>2</v>
      </c>
      <c r="H174" s="245" t="s">
        <v>178</v>
      </c>
      <c r="I174" s="238" t="s">
        <v>179</v>
      </c>
      <c r="J174" s="243">
        <v>1</v>
      </c>
      <c r="K174" s="243">
        <v>5</v>
      </c>
      <c r="L174" s="245">
        <v>1000</v>
      </c>
      <c r="M174" s="245">
        <v>1000</v>
      </c>
      <c r="N174" s="245">
        <v>1000</v>
      </c>
      <c r="O174" s="245"/>
      <c r="P174" s="74"/>
      <c r="Q174" s="74"/>
      <c r="R174" s="74"/>
      <c r="S174" s="74"/>
      <c r="T174" s="74"/>
      <c r="U174" s="74"/>
      <c r="V174" s="74"/>
      <c r="W174" s="61"/>
    </row>
    <row r="175" spans="1:23" ht="13.4" customHeight="1" thickBot="1" x14ac:dyDescent="0.4">
      <c r="A175" s="62"/>
      <c r="B175" s="62"/>
      <c r="C175" s="62"/>
      <c r="D175" s="62"/>
      <c r="E175" s="62"/>
      <c r="F175" s="62"/>
      <c r="G175" s="62"/>
      <c r="H175" s="62"/>
      <c r="I175" s="62"/>
      <c r="J175" s="62"/>
      <c r="K175" s="62"/>
      <c r="L175" s="62"/>
      <c r="M175" s="62"/>
      <c r="N175" s="62"/>
      <c r="O175" s="62"/>
      <c r="P175" s="62"/>
      <c r="Q175" s="62"/>
      <c r="R175" s="62"/>
      <c r="S175" s="62"/>
      <c r="T175" s="62"/>
      <c r="U175" s="62"/>
      <c r="V175" s="62"/>
      <c r="W175" s="63"/>
    </row>
    <row r="176" spans="1:23" ht="13.4" customHeight="1" thickTop="1" x14ac:dyDescent="0.35">
      <c r="A176" s="68"/>
      <c r="B176" s="68"/>
      <c r="C176" s="68"/>
      <c r="D176" s="68"/>
      <c r="E176" s="68"/>
      <c r="F176" s="68"/>
      <c r="G176" s="68"/>
      <c r="H176" s="68"/>
      <c r="I176" s="68"/>
      <c r="J176" s="68"/>
      <c r="K176" s="68"/>
      <c r="L176" s="68"/>
      <c r="M176" s="68"/>
      <c r="N176" s="68"/>
      <c r="O176" s="68"/>
      <c r="P176" s="68"/>
      <c r="Q176" s="68"/>
      <c r="R176" s="68"/>
      <c r="S176" s="68"/>
      <c r="T176" s="68"/>
      <c r="U176" s="68"/>
      <c r="V176" s="68"/>
      <c r="W176" s="64"/>
    </row>
    <row r="177" spans="1:23" ht="14.65" customHeight="1" x14ac:dyDescent="0.35">
      <c r="A177" s="313" t="s">
        <v>7</v>
      </c>
      <c r="B177" s="310"/>
      <c r="C177" s="310"/>
      <c r="D177" s="310"/>
      <c r="E177" s="310"/>
      <c r="F177" s="310"/>
      <c r="G177" s="310"/>
      <c r="H177" s="310"/>
      <c r="I177" s="310"/>
      <c r="J177" s="310"/>
      <c r="K177" s="310"/>
      <c r="L177" s="310"/>
      <c r="M177" s="310"/>
      <c r="N177" s="310"/>
      <c r="O177" s="310"/>
      <c r="P177" s="310"/>
      <c r="Q177" s="310"/>
      <c r="R177" s="310"/>
      <c r="S177" s="310"/>
      <c r="T177" s="310"/>
      <c r="U177" s="310"/>
      <c r="V177" s="311"/>
      <c r="W177" s="64"/>
    </row>
    <row r="178" spans="1:23" x14ac:dyDescent="0.35">
      <c r="A178" s="233" t="s">
        <v>10</v>
      </c>
      <c r="B178" s="233" t="s">
        <v>11</v>
      </c>
      <c r="C178" s="233" t="s">
        <v>12</v>
      </c>
      <c r="D178" s="233" t="s">
        <v>13</v>
      </c>
      <c r="E178" s="233" t="s">
        <v>14</v>
      </c>
      <c r="F178" s="233" t="s">
        <v>15</v>
      </c>
      <c r="G178" s="233" t="s">
        <v>16</v>
      </c>
      <c r="H178" s="233" t="s">
        <v>17</v>
      </c>
      <c r="I178" s="233" t="s">
        <v>18</v>
      </c>
      <c r="J178" s="233" t="s">
        <v>19</v>
      </c>
      <c r="K178" s="233" t="s">
        <v>20</v>
      </c>
      <c r="L178" s="233" t="s">
        <v>147</v>
      </c>
      <c r="M178" s="233" t="s">
        <v>148</v>
      </c>
      <c r="N178" s="59" t="s">
        <v>149</v>
      </c>
      <c r="O178" s="59" t="s">
        <v>150</v>
      </c>
      <c r="P178" s="59" t="s">
        <v>151</v>
      </c>
      <c r="Q178" s="233" t="s">
        <v>152</v>
      </c>
      <c r="R178" s="233" t="s">
        <v>153</v>
      </c>
      <c r="S178" s="233" t="s">
        <v>154</v>
      </c>
      <c r="T178" s="233" t="s">
        <v>155</v>
      </c>
      <c r="U178" s="233" t="s">
        <v>156</v>
      </c>
      <c r="V178" s="233" t="s">
        <v>157</v>
      </c>
      <c r="W178" s="116"/>
    </row>
    <row r="179" spans="1:23" x14ac:dyDescent="0.3">
      <c r="A179" s="245" t="s">
        <v>158</v>
      </c>
      <c r="B179" s="241" t="s">
        <v>159</v>
      </c>
      <c r="C179" s="241">
        <v>0</v>
      </c>
      <c r="D179" s="246" t="s">
        <v>278</v>
      </c>
      <c r="E179" s="246" t="s">
        <v>278</v>
      </c>
      <c r="F179" s="246"/>
      <c r="G179" s="151" t="s">
        <v>29</v>
      </c>
      <c r="H179" s="246" t="s">
        <v>161</v>
      </c>
      <c r="I179" s="246"/>
      <c r="J179" s="246"/>
      <c r="K179" s="65">
        <v>36892</v>
      </c>
      <c r="L179" s="60" t="s">
        <v>162</v>
      </c>
      <c r="M179" s="65" t="s">
        <v>45</v>
      </c>
      <c r="N179" s="238" t="s">
        <v>163</v>
      </c>
      <c r="O179" s="238" t="s">
        <v>25</v>
      </c>
      <c r="P179" s="238" t="s">
        <v>164</v>
      </c>
      <c r="Q179" s="117" t="s">
        <v>25</v>
      </c>
      <c r="R179" s="117" t="s">
        <v>45</v>
      </c>
      <c r="S179" s="246" t="s">
        <v>165</v>
      </c>
      <c r="T179" s="238">
        <v>250000</v>
      </c>
      <c r="U179" s="239" t="s">
        <v>25</v>
      </c>
      <c r="V179" s="239" t="s">
        <v>25</v>
      </c>
      <c r="W179" s="118"/>
    </row>
    <row r="180" spans="1:23" x14ac:dyDescent="0.35">
      <c r="A180" s="85"/>
      <c r="B180" s="85"/>
      <c r="C180" s="85"/>
      <c r="D180" s="85"/>
      <c r="E180" s="85"/>
      <c r="F180" s="85"/>
      <c r="G180" s="85"/>
      <c r="H180" s="85"/>
      <c r="I180" s="85"/>
      <c r="J180" s="85"/>
      <c r="K180" s="85"/>
      <c r="L180" s="85"/>
      <c r="M180" s="85"/>
      <c r="N180" s="85"/>
      <c r="O180" s="85"/>
      <c r="P180" s="85"/>
      <c r="Q180" s="85"/>
      <c r="R180" s="85"/>
      <c r="S180" s="85"/>
      <c r="T180" s="85"/>
      <c r="U180" s="85"/>
      <c r="V180" s="85"/>
      <c r="W180" s="64"/>
    </row>
    <row r="181" spans="1:23" ht="14.65" customHeight="1" x14ac:dyDescent="0.35">
      <c r="A181" s="313" t="s">
        <v>36</v>
      </c>
      <c r="B181" s="310"/>
      <c r="C181" s="310"/>
      <c r="D181" s="310"/>
      <c r="E181" s="310"/>
      <c r="F181" s="310"/>
      <c r="G181" s="310"/>
      <c r="H181" s="310"/>
      <c r="I181" s="310"/>
      <c r="J181" s="310"/>
      <c r="K181" s="310"/>
      <c r="L181" s="310"/>
      <c r="M181" s="310"/>
      <c r="N181" s="310"/>
      <c r="O181" s="311"/>
      <c r="P181" s="85"/>
      <c r="Q181" s="85"/>
      <c r="R181" s="85"/>
      <c r="S181" s="85"/>
      <c r="T181" s="85"/>
      <c r="U181" s="85"/>
      <c r="V181" s="85"/>
      <c r="W181" s="64"/>
    </row>
    <row r="182" spans="1:23" x14ac:dyDescent="0.35">
      <c r="A182" s="233" t="s">
        <v>13</v>
      </c>
      <c r="B182" s="233" t="s">
        <v>14</v>
      </c>
      <c r="C182" s="233" t="s">
        <v>15</v>
      </c>
      <c r="D182" s="233" t="s">
        <v>16</v>
      </c>
      <c r="E182" s="233" t="s">
        <v>166</v>
      </c>
      <c r="F182" s="233" t="s">
        <v>167</v>
      </c>
      <c r="G182" s="233" t="s">
        <v>168</v>
      </c>
      <c r="H182" s="233" t="s">
        <v>169</v>
      </c>
      <c r="I182" s="233" t="s">
        <v>170</v>
      </c>
      <c r="J182" s="233" t="s">
        <v>171</v>
      </c>
      <c r="K182" s="233" t="s">
        <v>172</v>
      </c>
      <c r="L182" s="233" t="s">
        <v>173</v>
      </c>
      <c r="M182" s="233" t="s">
        <v>174</v>
      </c>
      <c r="N182" s="233" t="s">
        <v>175</v>
      </c>
      <c r="O182" s="233" t="s">
        <v>176</v>
      </c>
      <c r="P182" s="85"/>
      <c r="Q182" s="85"/>
      <c r="R182" s="85"/>
      <c r="S182" s="85"/>
      <c r="T182" s="85"/>
      <c r="U182" s="85"/>
      <c r="V182" s="85"/>
      <c r="W182" s="64"/>
    </row>
    <row r="183" spans="1:23" x14ac:dyDescent="0.3">
      <c r="A183" s="246">
        <v>0</v>
      </c>
      <c r="B183" s="141" t="s">
        <v>279</v>
      </c>
      <c r="C183" s="141" t="s">
        <v>279</v>
      </c>
      <c r="D183" s="151" t="s">
        <v>29</v>
      </c>
      <c r="E183" s="239" t="s">
        <v>25</v>
      </c>
      <c r="F183" s="239">
        <v>0</v>
      </c>
      <c r="G183" s="239">
        <v>2</v>
      </c>
      <c r="H183" s="246" t="s">
        <v>178</v>
      </c>
      <c r="I183" s="239" t="s">
        <v>179</v>
      </c>
      <c r="J183" s="244">
        <v>1</v>
      </c>
      <c r="K183" s="244">
        <v>5</v>
      </c>
      <c r="L183" s="246">
        <v>1000</v>
      </c>
      <c r="M183" s="246">
        <v>1000</v>
      </c>
      <c r="N183" s="246">
        <v>1000</v>
      </c>
      <c r="O183" s="246"/>
      <c r="P183" s="85"/>
      <c r="Q183" s="85"/>
      <c r="R183" s="85"/>
      <c r="S183" s="85"/>
      <c r="T183" s="85"/>
      <c r="U183" s="85"/>
      <c r="V183" s="85"/>
      <c r="W183" s="64"/>
    </row>
    <row r="184" spans="1:23" x14ac:dyDescent="0.3">
      <c r="A184" s="246">
        <v>1</v>
      </c>
      <c r="B184" s="141" t="s">
        <v>280</v>
      </c>
      <c r="C184" s="141" t="s">
        <v>280</v>
      </c>
      <c r="D184" s="151" t="s">
        <v>29</v>
      </c>
      <c r="E184" s="239" t="s">
        <v>25</v>
      </c>
      <c r="F184" s="239">
        <v>0</v>
      </c>
      <c r="G184" s="246">
        <v>5</v>
      </c>
      <c r="H184" s="246" t="s">
        <v>178</v>
      </c>
      <c r="I184" s="239" t="s">
        <v>179</v>
      </c>
      <c r="J184" s="244">
        <v>1</v>
      </c>
      <c r="K184" s="244">
        <v>5</v>
      </c>
      <c r="L184" s="246">
        <v>1000</v>
      </c>
      <c r="M184" s="246">
        <v>1000</v>
      </c>
      <c r="N184" s="246">
        <v>1000</v>
      </c>
      <c r="O184" s="246"/>
      <c r="P184" s="85"/>
      <c r="Q184" s="85"/>
      <c r="R184" s="85"/>
      <c r="S184" s="85"/>
      <c r="T184" s="85"/>
      <c r="U184" s="85"/>
      <c r="V184" s="85"/>
      <c r="W184" s="64"/>
    </row>
    <row r="185" spans="1:23" x14ac:dyDescent="0.3">
      <c r="A185" s="246">
        <v>2</v>
      </c>
      <c r="B185" s="141" t="s">
        <v>281</v>
      </c>
      <c r="C185" s="141" t="s">
        <v>281</v>
      </c>
      <c r="D185" s="151" t="s">
        <v>29</v>
      </c>
      <c r="E185" s="239" t="s">
        <v>25</v>
      </c>
      <c r="F185" s="239">
        <v>0</v>
      </c>
      <c r="G185" s="246">
        <v>5</v>
      </c>
      <c r="H185" s="246" t="s">
        <v>178</v>
      </c>
      <c r="I185" s="239" t="s">
        <v>179</v>
      </c>
      <c r="J185" s="244">
        <v>1</v>
      </c>
      <c r="K185" s="244">
        <v>5</v>
      </c>
      <c r="L185" s="246">
        <v>1000</v>
      </c>
      <c r="M185" s="246">
        <v>1000</v>
      </c>
      <c r="N185" s="246">
        <v>1000</v>
      </c>
      <c r="O185" s="246"/>
      <c r="P185" s="85"/>
      <c r="Q185" s="85"/>
      <c r="R185" s="85"/>
      <c r="S185" s="85"/>
      <c r="T185" s="85"/>
      <c r="U185" s="85"/>
      <c r="V185" s="85"/>
      <c r="W185" s="64"/>
    </row>
    <row r="186" spans="1:23" x14ac:dyDescent="0.3">
      <c r="A186" s="246">
        <v>3</v>
      </c>
      <c r="B186" s="141" t="s">
        <v>282</v>
      </c>
      <c r="C186" s="141" t="s">
        <v>282</v>
      </c>
      <c r="D186" s="151" t="s">
        <v>29</v>
      </c>
      <c r="E186" s="239" t="s">
        <v>25</v>
      </c>
      <c r="F186" s="239">
        <v>0</v>
      </c>
      <c r="G186" s="246">
        <v>10</v>
      </c>
      <c r="H186" s="246" t="s">
        <v>178</v>
      </c>
      <c r="I186" s="239" t="s">
        <v>179</v>
      </c>
      <c r="J186" s="244">
        <v>1</v>
      </c>
      <c r="K186" s="244">
        <v>5</v>
      </c>
      <c r="L186" s="246">
        <v>1000</v>
      </c>
      <c r="M186" s="246">
        <v>1000</v>
      </c>
      <c r="N186" s="246">
        <v>1000</v>
      </c>
      <c r="O186" s="246"/>
      <c r="P186" s="85"/>
      <c r="Q186" s="85"/>
      <c r="R186" s="85"/>
      <c r="S186" s="85"/>
      <c r="T186" s="85"/>
      <c r="U186" s="85"/>
      <c r="V186" s="85"/>
      <c r="W186" s="64"/>
    </row>
    <row r="187" spans="1:23" x14ac:dyDescent="0.3">
      <c r="A187" s="246">
        <v>4</v>
      </c>
      <c r="B187" s="141" t="s">
        <v>283</v>
      </c>
      <c r="C187" s="141" t="s">
        <v>283</v>
      </c>
      <c r="D187" s="151" t="s">
        <v>29</v>
      </c>
      <c r="E187" s="239" t="s">
        <v>25</v>
      </c>
      <c r="F187" s="239">
        <v>0</v>
      </c>
      <c r="G187" s="246">
        <v>10</v>
      </c>
      <c r="H187" s="246" t="s">
        <v>178</v>
      </c>
      <c r="I187" s="239" t="s">
        <v>179</v>
      </c>
      <c r="J187" s="244">
        <v>1</v>
      </c>
      <c r="K187" s="244">
        <v>5</v>
      </c>
      <c r="L187" s="246">
        <v>1000</v>
      </c>
      <c r="M187" s="246">
        <v>1000</v>
      </c>
      <c r="N187" s="246">
        <v>1000</v>
      </c>
      <c r="O187" s="246"/>
      <c r="P187" s="85"/>
      <c r="Q187" s="85"/>
      <c r="R187" s="85"/>
      <c r="S187" s="85"/>
      <c r="T187" s="85"/>
      <c r="U187" s="85"/>
      <c r="V187" s="85"/>
      <c r="W187" s="64"/>
    </row>
    <row r="188" spans="1:23" x14ac:dyDescent="0.3">
      <c r="A188" s="246">
        <v>5</v>
      </c>
      <c r="B188" s="141" t="s">
        <v>284</v>
      </c>
      <c r="C188" s="141" t="s">
        <v>284</v>
      </c>
      <c r="D188" s="151" t="s">
        <v>29</v>
      </c>
      <c r="E188" s="239" t="s">
        <v>25</v>
      </c>
      <c r="F188" s="239">
        <v>0</v>
      </c>
      <c r="G188" s="246">
        <v>10</v>
      </c>
      <c r="H188" s="246" t="s">
        <v>178</v>
      </c>
      <c r="I188" s="239" t="s">
        <v>179</v>
      </c>
      <c r="J188" s="244">
        <v>1</v>
      </c>
      <c r="K188" s="244">
        <v>5</v>
      </c>
      <c r="L188" s="246">
        <v>1000</v>
      </c>
      <c r="M188" s="246">
        <v>1000</v>
      </c>
      <c r="N188" s="246">
        <v>1000</v>
      </c>
      <c r="O188" s="246"/>
      <c r="P188" s="85"/>
      <c r="Q188" s="85"/>
      <c r="R188" s="85"/>
      <c r="S188" s="85"/>
      <c r="T188" s="85"/>
      <c r="U188" s="85"/>
      <c r="V188" s="85"/>
      <c r="W188" s="64"/>
    </row>
    <row r="189" spans="1:23" x14ac:dyDescent="0.3">
      <c r="A189" s="246">
        <v>6</v>
      </c>
      <c r="B189" s="141" t="s">
        <v>285</v>
      </c>
      <c r="C189" s="141" t="s">
        <v>285</v>
      </c>
      <c r="D189" s="151" t="s">
        <v>29</v>
      </c>
      <c r="E189" s="239" t="s">
        <v>25</v>
      </c>
      <c r="F189" s="239">
        <v>0</v>
      </c>
      <c r="G189" s="246">
        <v>10</v>
      </c>
      <c r="H189" s="246" t="s">
        <v>178</v>
      </c>
      <c r="I189" s="239" t="s">
        <v>179</v>
      </c>
      <c r="J189" s="244">
        <v>1</v>
      </c>
      <c r="K189" s="244">
        <v>5</v>
      </c>
      <c r="L189" s="246">
        <v>1000</v>
      </c>
      <c r="M189" s="246">
        <v>1000</v>
      </c>
      <c r="N189" s="246">
        <v>1000</v>
      </c>
      <c r="O189" s="246"/>
      <c r="P189" s="85"/>
      <c r="Q189" s="85"/>
      <c r="R189" s="85"/>
      <c r="S189" s="85"/>
      <c r="T189" s="85"/>
      <c r="U189" s="85"/>
      <c r="V189" s="85"/>
      <c r="W189" s="64"/>
    </row>
    <row r="190" spans="1:23" x14ac:dyDescent="0.3">
      <c r="A190" s="246">
        <v>7</v>
      </c>
      <c r="B190" s="141" t="s">
        <v>286</v>
      </c>
      <c r="C190" s="141" t="s">
        <v>286</v>
      </c>
      <c r="D190" s="239" t="s">
        <v>29</v>
      </c>
      <c r="E190" s="239" t="s">
        <v>25</v>
      </c>
      <c r="F190" s="239">
        <v>0</v>
      </c>
      <c r="G190" s="246">
        <v>10</v>
      </c>
      <c r="H190" s="246" t="s">
        <v>178</v>
      </c>
      <c r="I190" s="239" t="s">
        <v>179</v>
      </c>
      <c r="J190" s="244">
        <v>1</v>
      </c>
      <c r="K190" s="244">
        <v>5</v>
      </c>
      <c r="L190" s="246">
        <v>1000</v>
      </c>
      <c r="M190" s="246">
        <v>1000</v>
      </c>
      <c r="N190" s="246">
        <v>1000</v>
      </c>
      <c r="O190" s="246"/>
      <c r="P190" s="85"/>
      <c r="Q190" s="85"/>
      <c r="R190" s="85"/>
      <c r="S190" s="85"/>
      <c r="T190" s="85"/>
      <c r="U190" s="85"/>
      <c r="V190" s="85"/>
      <c r="W190" s="64"/>
    </row>
    <row r="191" spans="1:23" ht="13.4" customHeight="1" thickBot="1" x14ac:dyDescent="0.4">
      <c r="A191" s="66"/>
      <c r="B191" s="66"/>
      <c r="C191" s="66"/>
      <c r="D191" s="66"/>
      <c r="E191" s="66"/>
      <c r="F191" s="66"/>
      <c r="G191" s="66"/>
      <c r="H191" s="66"/>
      <c r="I191" s="66"/>
      <c r="J191" s="66"/>
      <c r="K191" s="66"/>
      <c r="L191" s="66"/>
      <c r="M191" s="66"/>
      <c r="N191" s="66"/>
      <c r="O191" s="66"/>
      <c r="P191" s="66"/>
      <c r="Q191" s="66"/>
      <c r="R191" s="66"/>
      <c r="S191" s="66"/>
      <c r="T191" s="66"/>
      <c r="U191" s="66"/>
      <c r="V191" s="66"/>
      <c r="W191" s="67"/>
    </row>
    <row r="192" spans="1:23" ht="13.4" customHeight="1" thickTop="1" x14ac:dyDescent="0.35">
      <c r="A192" s="69"/>
      <c r="B192" s="69"/>
      <c r="C192" s="69"/>
      <c r="D192" s="69"/>
      <c r="E192" s="69"/>
      <c r="F192" s="69"/>
      <c r="G192" s="69"/>
      <c r="H192" s="69"/>
      <c r="I192" s="69"/>
      <c r="J192" s="69"/>
      <c r="K192" s="69"/>
      <c r="L192" s="69"/>
      <c r="M192" s="69"/>
      <c r="N192" s="69"/>
      <c r="O192" s="69"/>
      <c r="P192" s="69"/>
      <c r="Q192" s="69"/>
      <c r="R192" s="69"/>
      <c r="S192" s="69"/>
      <c r="T192" s="69"/>
      <c r="U192" s="69"/>
      <c r="V192" s="69"/>
      <c r="W192" s="61"/>
    </row>
    <row r="193" spans="1:23" ht="14.65" customHeight="1" x14ac:dyDescent="0.35">
      <c r="A193" s="312" t="s">
        <v>7</v>
      </c>
      <c r="B193" s="310"/>
      <c r="C193" s="310"/>
      <c r="D193" s="310"/>
      <c r="E193" s="310"/>
      <c r="F193" s="310"/>
      <c r="G193" s="310"/>
      <c r="H193" s="310"/>
      <c r="I193" s="310"/>
      <c r="J193" s="310"/>
      <c r="K193" s="310"/>
      <c r="L193" s="310"/>
      <c r="M193" s="310"/>
      <c r="N193" s="310"/>
      <c r="O193" s="310"/>
      <c r="P193" s="310"/>
      <c r="Q193" s="310"/>
      <c r="R193" s="310"/>
      <c r="S193" s="310"/>
      <c r="T193" s="310"/>
      <c r="U193" s="310"/>
      <c r="V193" s="311"/>
      <c r="W193" s="61"/>
    </row>
    <row r="194" spans="1:23" x14ac:dyDescent="0.35">
      <c r="A194" s="59" t="s">
        <v>10</v>
      </c>
      <c r="B194" s="59" t="s">
        <v>11</v>
      </c>
      <c r="C194" s="59" t="s">
        <v>12</v>
      </c>
      <c r="D194" s="59" t="s">
        <v>13</v>
      </c>
      <c r="E194" s="59" t="s">
        <v>14</v>
      </c>
      <c r="F194" s="59" t="s">
        <v>15</v>
      </c>
      <c r="G194" s="59" t="s">
        <v>16</v>
      </c>
      <c r="H194" s="59" t="s">
        <v>17</v>
      </c>
      <c r="I194" s="59" t="s">
        <v>18</v>
      </c>
      <c r="J194" s="59" t="s">
        <v>19</v>
      </c>
      <c r="K194" s="59" t="s">
        <v>20</v>
      </c>
      <c r="L194" s="59" t="s">
        <v>147</v>
      </c>
      <c r="M194" s="59" t="s">
        <v>148</v>
      </c>
      <c r="N194" s="59" t="s">
        <v>149</v>
      </c>
      <c r="O194" s="59" t="s">
        <v>150</v>
      </c>
      <c r="P194" s="59" t="s">
        <v>151</v>
      </c>
      <c r="Q194" s="59" t="s">
        <v>152</v>
      </c>
      <c r="R194" s="59" t="s">
        <v>153</v>
      </c>
      <c r="S194" s="59" t="s">
        <v>154</v>
      </c>
      <c r="T194" s="59" t="s">
        <v>155</v>
      </c>
      <c r="U194" s="59" t="s">
        <v>156</v>
      </c>
      <c r="V194" s="59" t="s">
        <v>157</v>
      </c>
      <c r="W194" s="111"/>
    </row>
    <row r="195" spans="1:23" x14ac:dyDescent="0.3">
      <c r="A195" s="245" t="s">
        <v>158</v>
      </c>
      <c r="B195" s="240" t="s">
        <v>159</v>
      </c>
      <c r="C195" s="240">
        <v>0</v>
      </c>
      <c r="D195" s="245" t="s">
        <v>287</v>
      </c>
      <c r="E195" s="245" t="s">
        <v>287</v>
      </c>
      <c r="F195" s="245"/>
      <c r="G195" s="151" t="s">
        <v>29</v>
      </c>
      <c r="H195" s="245" t="s">
        <v>161</v>
      </c>
      <c r="I195" s="245"/>
      <c r="J195" s="245"/>
      <c r="K195" s="60">
        <v>36892</v>
      </c>
      <c r="L195" s="60" t="s">
        <v>162</v>
      </c>
      <c r="M195" s="60" t="s">
        <v>45</v>
      </c>
      <c r="N195" s="238" t="s">
        <v>163</v>
      </c>
      <c r="O195" s="238" t="s">
        <v>25</v>
      </c>
      <c r="P195" s="238" t="s">
        <v>164</v>
      </c>
      <c r="Q195" s="113" t="s">
        <v>25</v>
      </c>
      <c r="R195" s="113" t="s">
        <v>45</v>
      </c>
      <c r="S195" s="245" t="s">
        <v>165</v>
      </c>
      <c r="T195" s="238">
        <v>250000</v>
      </c>
      <c r="U195" s="238" t="s">
        <v>25</v>
      </c>
      <c r="V195" s="238" t="s">
        <v>25</v>
      </c>
      <c r="W195" s="114"/>
    </row>
    <row r="196" spans="1:23" x14ac:dyDescent="0.35">
      <c r="A196" s="74"/>
      <c r="B196" s="74"/>
      <c r="C196" s="74"/>
      <c r="D196" s="74"/>
      <c r="E196" s="74"/>
      <c r="F196" s="74"/>
      <c r="G196" s="74"/>
      <c r="H196" s="74"/>
      <c r="I196" s="74"/>
      <c r="J196" s="74"/>
      <c r="K196" s="74"/>
      <c r="L196" s="74"/>
      <c r="M196" s="74"/>
      <c r="N196" s="74"/>
      <c r="O196" s="74"/>
      <c r="P196" s="74"/>
      <c r="Q196" s="74"/>
      <c r="R196" s="74"/>
      <c r="S196" s="74"/>
      <c r="T196" s="74"/>
      <c r="U196" s="74"/>
      <c r="V196" s="74"/>
      <c r="W196" s="61"/>
    </row>
    <row r="197" spans="1:23" ht="14.65" customHeight="1" x14ac:dyDescent="0.35">
      <c r="A197" s="312" t="s">
        <v>36</v>
      </c>
      <c r="B197" s="310"/>
      <c r="C197" s="310"/>
      <c r="D197" s="310"/>
      <c r="E197" s="310"/>
      <c r="F197" s="310"/>
      <c r="G197" s="310"/>
      <c r="H197" s="310"/>
      <c r="I197" s="310"/>
      <c r="J197" s="310"/>
      <c r="K197" s="310"/>
      <c r="L197" s="310"/>
      <c r="M197" s="310"/>
      <c r="N197" s="310"/>
      <c r="O197" s="311"/>
      <c r="P197" s="74"/>
      <c r="Q197" s="74"/>
      <c r="R197" s="74"/>
      <c r="S197" s="74"/>
      <c r="T197" s="74"/>
      <c r="U197" s="74"/>
      <c r="V197" s="74"/>
      <c r="W197" s="61"/>
    </row>
    <row r="198" spans="1:23" x14ac:dyDescent="0.35">
      <c r="A198" s="59" t="s">
        <v>13</v>
      </c>
      <c r="B198" s="59" t="s">
        <v>14</v>
      </c>
      <c r="C198" s="59" t="s">
        <v>15</v>
      </c>
      <c r="D198" s="59" t="s">
        <v>16</v>
      </c>
      <c r="E198" s="59" t="s">
        <v>166</v>
      </c>
      <c r="F198" s="59" t="s">
        <v>167</v>
      </c>
      <c r="G198" s="59" t="s">
        <v>168</v>
      </c>
      <c r="H198" s="59" t="s">
        <v>169</v>
      </c>
      <c r="I198" s="59" t="s">
        <v>170</v>
      </c>
      <c r="J198" s="59" t="s">
        <v>171</v>
      </c>
      <c r="K198" s="59" t="s">
        <v>172</v>
      </c>
      <c r="L198" s="59" t="s">
        <v>173</v>
      </c>
      <c r="M198" s="59" t="s">
        <v>174</v>
      </c>
      <c r="N198" s="59" t="s">
        <v>175</v>
      </c>
      <c r="O198" s="59" t="s">
        <v>176</v>
      </c>
      <c r="P198" s="74"/>
      <c r="Q198" s="74"/>
      <c r="R198" s="74"/>
      <c r="S198" s="74"/>
      <c r="T198" s="74"/>
      <c r="U198" s="74"/>
      <c r="V198" s="74"/>
      <c r="W198" s="61"/>
    </row>
    <row r="199" spans="1:23" x14ac:dyDescent="0.3">
      <c r="A199" s="245">
        <v>0</v>
      </c>
      <c r="B199" s="141" t="s">
        <v>288</v>
      </c>
      <c r="C199" s="141" t="s">
        <v>288</v>
      </c>
      <c r="D199" s="151" t="s">
        <v>29</v>
      </c>
      <c r="E199" s="238" t="s">
        <v>25</v>
      </c>
      <c r="F199" s="238">
        <v>0</v>
      </c>
      <c r="G199" s="238">
        <v>2</v>
      </c>
      <c r="H199" s="245" t="s">
        <v>178</v>
      </c>
      <c r="I199" s="238" t="s">
        <v>179</v>
      </c>
      <c r="J199" s="243">
        <v>1</v>
      </c>
      <c r="K199" s="243">
        <v>5</v>
      </c>
      <c r="L199" s="245">
        <v>1000</v>
      </c>
      <c r="M199" s="245">
        <v>1000</v>
      </c>
      <c r="N199" s="245">
        <v>1000</v>
      </c>
      <c r="O199" s="245"/>
      <c r="P199" s="74"/>
      <c r="Q199" s="74"/>
      <c r="R199" s="74"/>
      <c r="S199" s="74"/>
      <c r="T199" s="74"/>
      <c r="U199" s="74"/>
      <c r="V199" s="74"/>
      <c r="W199" s="61"/>
    </row>
    <row r="200" spans="1:23" x14ac:dyDescent="0.3">
      <c r="A200" s="245">
        <v>1</v>
      </c>
      <c r="B200" s="141" t="s">
        <v>289</v>
      </c>
      <c r="C200" s="141" t="s">
        <v>289</v>
      </c>
      <c r="D200" s="151" t="s">
        <v>29</v>
      </c>
      <c r="E200" s="238" t="s">
        <v>25</v>
      </c>
      <c r="F200" s="238">
        <v>0</v>
      </c>
      <c r="G200" s="245">
        <v>2</v>
      </c>
      <c r="H200" s="245" t="s">
        <v>178</v>
      </c>
      <c r="I200" s="238" t="s">
        <v>179</v>
      </c>
      <c r="J200" s="243">
        <v>1</v>
      </c>
      <c r="K200" s="243">
        <v>5</v>
      </c>
      <c r="L200" s="245">
        <v>1000</v>
      </c>
      <c r="M200" s="245">
        <v>1000</v>
      </c>
      <c r="N200" s="245">
        <v>1000</v>
      </c>
      <c r="O200" s="245"/>
      <c r="P200" s="74"/>
      <c r="Q200" s="74"/>
      <c r="R200" s="74"/>
      <c r="S200" s="74"/>
      <c r="T200" s="74"/>
      <c r="U200" s="74"/>
      <c r="V200" s="74"/>
      <c r="W200" s="61"/>
    </row>
    <row r="201" spans="1:23" x14ac:dyDescent="0.3">
      <c r="A201" s="245">
        <v>2</v>
      </c>
      <c r="B201" s="141" t="s">
        <v>290</v>
      </c>
      <c r="C201" s="141" t="s">
        <v>290</v>
      </c>
      <c r="D201" s="151" t="s">
        <v>29</v>
      </c>
      <c r="E201" s="238" t="s">
        <v>25</v>
      </c>
      <c r="F201" s="238">
        <v>0</v>
      </c>
      <c r="G201" s="245">
        <v>10</v>
      </c>
      <c r="H201" s="245" t="s">
        <v>178</v>
      </c>
      <c r="I201" s="238" t="s">
        <v>179</v>
      </c>
      <c r="J201" s="243">
        <v>1</v>
      </c>
      <c r="K201" s="243">
        <v>5</v>
      </c>
      <c r="L201" s="245">
        <v>1000</v>
      </c>
      <c r="M201" s="245">
        <v>1000</v>
      </c>
      <c r="N201" s="245">
        <v>1000</v>
      </c>
      <c r="O201" s="245"/>
      <c r="P201" s="74"/>
      <c r="Q201" s="74"/>
      <c r="R201" s="74"/>
      <c r="S201" s="74"/>
      <c r="T201" s="74"/>
      <c r="U201" s="74"/>
      <c r="V201" s="74"/>
      <c r="W201" s="61"/>
    </row>
    <row r="202" spans="1:23" x14ac:dyDescent="0.3">
      <c r="A202" s="245">
        <v>3</v>
      </c>
      <c r="B202" s="141" t="s">
        <v>291</v>
      </c>
      <c r="C202" s="141" t="s">
        <v>291</v>
      </c>
      <c r="D202" s="151" t="s">
        <v>29</v>
      </c>
      <c r="E202" s="238" t="s">
        <v>25</v>
      </c>
      <c r="F202" s="238">
        <v>0</v>
      </c>
      <c r="G202" s="245">
        <v>2</v>
      </c>
      <c r="H202" s="245" t="s">
        <v>178</v>
      </c>
      <c r="I202" s="238" t="s">
        <v>179</v>
      </c>
      <c r="J202" s="243">
        <v>1</v>
      </c>
      <c r="K202" s="243">
        <v>5</v>
      </c>
      <c r="L202" s="245">
        <v>1000</v>
      </c>
      <c r="M202" s="245">
        <v>1000</v>
      </c>
      <c r="N202" s="245">
        <v>1000</v>
      </c>
      <c r="O202" s="245"/>
      <c r="P202" s="74"/>
      <c r="Q202" s="74"/>
      <c r="R202" s="74"/>
      <c r="S202" s="74"/>
      <c r="T202" s="74"/>
      <c r="U202" s="74"/>
      <c r="V202" s="74"/>
      <c r="W202" s="61"/>
    </row>
    <row r="203" spans="1:23" x14ac:dyDescent="0.3">
      <c r="A203" s="245">
        <v>4</v>
      </c>
      <c r="B203" s="141" t="s">
        <v>292</v>
      </c>
      <c r="C203" s="141" t="s">
        <v>292</v>
      </c>
      <c r="D203" s="151" t="s">
        <v>29</v>
      </c>
      <c r="E203" s="238" t="s">
        <v>25</v>
      </c>
      <c r="F203" s="238">
        <v>0</v>
      </c>
      <c r="G203" s="245">
        <v>2</v>
      </c>
      <c r="H203" s="245" t="s">
        <v>178</v>
      </c>
      <c r="I203" s="238" t="s">
        <v>179</v>
      </c>
      <c r="J203" s="243">
        <v>1</v>
      </c>
      <c r="K203" s="244">
        <v>5</v>
      </c>
      <c r="L203" s="245">
        <v>1000</v>
      </c>
      <c r="M203" s="245">
        <v>1000</v>
      </c>
      <c r="N203" s="245">
        <v>1000</v>
      </c>
      <c r="O203" s="245"/>
      <c r="P203" s="74"/>
      <c r="Q203" s="74"/>
      <c r="R203" s="74"/>
      <c r="S203" s="74"/>
      <c r="T203" s="74"/>
      <c r="U203" s="74"/>
      <c r="V203" s="74"/>
      <c r="W203" s="61"/>
    </row>
    <row r="204" spans="1:23" x14ac:dyDescent="0.3">
      <c r="A204" s="245">
        <v>5</v>
      </c>
      <c r="B204" s="141" t="s">
        <v>293</v>
      </c>
      <c r="C204" s="141" t="s">
        <v>293</v>
      </c>
      <c r="D204" s="151" t="s">
        <v>29</v>
      </c>
      <c r="E204" s="238" t="s">
        <v>25</v>
      </c>
      <c r="F204" s="238">
        <v>0</v>
      </c>
      <c r="G204" s="245">
        <v>2</v>
      </c>
      <c r="H204" s="245" t="s">
        <v>178</v>
      </c>
      <c r="I204" s="238" t="s">
        <v>179</v>
      </c>
      <c r="J204" s="243">
        <v>1</v>
      </c>
      <c r="K204" s="243">
        <v>5</v>
      </c>
      <c r="L204" s="245">
        <v>1000</v>
      </c>
      <c r="M204" s="245">
        <v>1000</v>
      </c>
      <c r="N204" s="245">
        <v>1000</v>
      </c>
      <c r="O204" s="245"/>
      <c r="P204" s="74"/>
      <c r="Q204" s="74"/>
      <c r="R204" s="74"/>
      <c r="S204" s="74"/>
      <c r="T204" s="74"/>
      <c r="U204" s="74"/>
      <c r="V204" s="74"/>
      <c r="W204" s="61"/>
    </row>
    <row r="205" spans="1:23" x14ac:dyDescent="0.3">
      <c r="A205" s="245">
        <v>6</v>
      </c>
      <c r="B205" s="141" t="s">
        <v>294</v>
      </c>
      <c r="C205" s="141" t="s">
        <v>294</v>
      </c>
      <c r="D205" s="151" t="s">
        <v>29</v>
      </c>
      <c r="E205" s="238" t="s">
        <v>25</v>
      </c>
      <c r="F205" s="238">
        <v>0</v>
      </c>
      <c r="G205" s="245">
        <v>5</v>
      </c>
      <c r="H205" s="245" t="s">
        <v>178</v>
      </c>
      <c r="I205" s="238" t="s">
        <v>179</v>
      </c>
      <c r="J205" s="243">
        <v>1</v>
      </c>
      <c r="K205" s="243">
        <v>5</v>
      </c>
      <c r="L205" s="245">
        <v>1000</v>
      </c>
      <c r="M205" s="245">
        <v>1000</v>
      </c>
      <c r="N205" s="245">
        <v>1000</v>
      </c>
      <c r="O205" s="245"/>
      <c r="P205" s="74"/>
      <c r="Q205" s="74"/>
      <c r="R205" s="74"/>
      <c r="S205" s="74"/>
      <c r="T205" s="74"/>
      <c r="U205" s="74"/>
      <c r="V205" s="74"/>
      <c r="W205" s="61"/>
    </row>
    <row r="206" spans="1:23" x14ac:dyDescent="0.3">
      <c r="A206" s="245">
        <v>7</v>
      </c>
      <c r="B206" s="141" t="s">
        <v>295</v>
      </c>
      <c r="C206" s="141" t="s">
        <v>295</v>
      </c>
      <c r="D206" s="151" t="s">
        <v>29</v>
      </c>
      <c r="E206" s="238" t="s">
        <v>25</v>
      </c>
      <c r="F206" s="238">
        <v>0</v>
      </c>
      <c r="G206" s="245">
        <v>5</v>
      </c>
      <c r="H206" s="245" t="s">
        <v>178</v>
      </c>
      <c r="I206" s="238" t="s">
        <v>179</v>
      </c>
      <c r="J206" s="243">
        <v>1</v>
      </c>
      <c r="K206" s="243">
        <v>5</v>
      </c>
      <c r="L206" s="245">
        <v>1000</v>
      </c>
      <c r="M206" s="245">
        <v>1000</v>
      </c>
      <c r="N206" s="245">
        <v>1000</v>
      </c>
      <c r="O206" s="245"/>
      <c r="P206" s="74"/>
      <c r="Q206" s="74"/>
      <c r="R206" s="74"/>
      <c r="S206" s="74"/>
      <c r="T206" s="74"/>
      <c r="U206" s="74"/>
      <c r="V206" s="74"/>
      <c r="W206" s="61"/>
    </row>
    <row r="207" spans="1:23" ht="13.4" customHeight="1" thickBot="1" x14ac:dyDescent="0.4">
      <c r="A207" s="62"/>
      <c r="B207" s="62"/>
      <c r="C207" s="62"/>
      <c r="D207" s="62"/>
      <c r="E207" s="62"/>
      <c r="F207" s="62"/>
      <c r="G207" s="62"/>
      <c r="H207" s="62"/>
      <c r="I207" s="62"/>
      <c r="J207" s="62"/>
      <c r="K207" s="62"/>
      <c r="L207" s="62"/>
      <c r="M207" s="62"/>
      <c r="N207" s="62"/>
      <c r="O207" s="62"/>
      <c r="P207" s="62"/>
      <c r="Q207" s="62"/>
      <c r="R207" s="62"/>
      <c r="S207" s="62"/>
      <c r="T207" s="62"/>
      <c r="U207" s="62"/>
      <c r="V207" s="62"/>
      <c r="W207" s="63"/>
    </row>
    <row r="208" spans="1:23" ht="13.4" customHeight="1" thickTop="1" x14ac:dyDescent="0.35">
      <c r="A208" s="68"/>
      <c r="B208" s="68"/>
      <c r="C208" s="68"/>
      <c r="D208" s="68"/>
      <c r="E208" s="68"/>
      <c r="F208" s="68"/>
      <c r="G208" s="68"/>
      <c r="H208" s="68"/>
      <c r="I208" s="68"/>
      <c r="J208" s="68"/>
      <c r="K208" s="68"/>
      <c r="L208" s="68"/>
      <c r="M208" s="68"/>
      <c r="N208" s="68"/>
      <c r="O208" s="68"/>
      <c r="P208" s="68"/>
      <c r="Q208" s="68"/>
      <c r="R208" s="68"/>
      <c r="S208" s="68"/>
      <c r="T208" s="68"/>
      <c r="U208" s="68"/>
      <c r="V208" s="68"/>
      <c r="W208" s="64"/>
    </row>
    <row r="209" spans="1:23" ht="14.65" customHeight="1" x14ac:dyDescent="0.35">
      <c r="A209" s="313" t="s">
        <v>7</v>
      </c>
      <c r="B209" s="310"/>
      <c r="C209" s="310"/>
      <c r="D209" s="310"/>
      <c r="E209" s="310"/>
      <c r="F209" s="310"/>
      <c r="G209" s="310"/>
      <c r="H209" s="310"/>
      <c r="I209" s="310"/>
      <c r="J209" s="310"/>
      <c r="K209" s="310"/>
      <c r="L209" s="310"/>
      <c r="M209" s="310"/>
      <c r="N209" s="310"/>
      <c r="O209" s="310"/>
      <c r="P209" s="310"/>
      <c r="Q209" s="310"/>
      <c r="R209" s="310"/>
      <c r="S209" s="310"/>
      <c r="T209" s="310"/>
      <c r="U209" s="310"/>
      <c r="V209" s="311"/>
      <c r="W209" s="64"/>
    </row>
    <row r="210" spans="1:23" x14ac:dyDescent="0.35">
      <c r="A210" s="233" t="s">
        <v>10</v>
      </c>
      <c r="B210" s="233" t="s">
        <v>11</v>
      </c>
      <c r="C210" s="233" t="s">
        <v>12</v>
      </c>
      <c r="D210" s="233" t="s">
        <v>13</v>
      </c>
      <c r="E210" s="233" t="s">
        <v>14</v>
      </c>
      <c r="F210" s="233" t="s">
        <v>15</v>
      </c>
      <c r="G210" s="233" t="s">
        <v>16</v>
      </c>
      <c r="H210" s="233" t="s">
        <v>17</v>
      </c>
      <c r="I210" s="233" t="s">
        <v>18</v>
      </c>
      <c r="J210" s="233" t="s">
        <v>19</v>
      </c>
      <c r="K210" s="233" t="s">
        <v>20</v>
      </c>
      <c r="L210" s="233" t="s">
        <v>147</v>
      </c>
      <c r="M210" s="233" t="s">
        <v>148</v>
      </c>
      <c r="N210" s="59" t="s">
        <v>149</v>
      </c>
      <c r="O210" s="59" t="s">
        <v>150</v>
      </c>
      <c r="P210" s="59" t="s">
        <v>151</v>
      </c>
      <c r="Q210" s="233" t="s">
        <v>152</v>
      </c>
      <c r="R210" s="233" t="s">
        <v>153</v>
      </c>
      <c r="S210" s="233" t="s">
        <v>154</v>
      </c>
      <c r="T210" s="233" t="s">
        <v>155</v>
      </c>
      <c r="U210" s="233" t="s">
        <v>156</v>
      </c>
      <c r="V210" s="233" t="s">
        <v>157</v>
      </c>
      <c r="W210" s="116"/>
    </row>
    <row r="211" spans="1:23" x14ac:dyDescent="0.3">
      <c r="A211" s="245" t="s">
        <v>158</v>
      </c>
      <c r="B211" s="241" t="s">
        <v>159</v>
      </c>
      <c r="C211" s="241">
        <v>0</v>
      </c>
      <c r="D211" s="246" t="s">
        <v>296</v>
      </c>
      <c r="E211" s="246" t="s">
        <v>296</v>
      </c>
      <c r="F211" s="246"/>
      <c r="G211" s="151" t="s">
        <v>29</v>
      </c>
      <c r="H211" s="245" t="s">
        <v>161</v>
      </c>
      <c r="I211" s="246"/>
      <c r="J211" s="246"/>
      <c r="K211" s="65">
        <v>36892</v>
      </c>
      <c r="L211" s="60" t="s">
        <v>162</v>
      </c>
      <c r="M211" s="65" t="s">
        <v>45</v>
      </c>
      <c r="N211" s="238" t="s">
        <v>163</v>
      </c>
      <c r="O211" s="238" t="s">
        <v>25</v>
      </c>
      <c r="P211" s="238" t="s">
        <v>164</v>
      </c>
      <c r="Q211" s="117" t="s">
        <v>25</v>
      </c>
      <c r="R211" s="117" t="s">
        <v>45</v>
      </c>
      <c r="S211" s="246" t="s">
        <v>165</v>
      </c>
      <c r="T211" s="238">
        <v>250000</v>
      </c>
      <c r="U211" s="239" t="s">
        <v>25</v>
      </c>
      <c r="V211" s="239" t="s">
        <v>25</v>
      </c>
      <c r="W211" s="118"/>
    </row>
    <row r="212" spans="1:23" x14ac:dyDescent="0.35">
      <c r="A212" s="85"/>
      <c r="B212" s="85"/>
      <c r="C212" s="85"/>
      <c r="D212" s="85"/>
      <c r="E212" s="85"/>
      <c r="F212" s="85"/>
      <c r="G212" s="85"/>
      <c r="H212" s="85"/>
      <c r="I212" s="85"/>
      <c r="J212" s="85"/>
      <c r="K212" s="85"/>
      <c r="L212" s="85"/>
      <c r="M212" s="85"/>
      <c r="N212" s="85"/>
      <c r="O212" s="85"/>
      <c r="P212" s="85"/>
      <c r="Q212" s="85"/>
      <c r="R212" s="85"/>
      <c r="S212" s="85"/>
      <c r="T212" s="85"/>
      <c r="U212" s="85"/>
      <c r="V212" s="85"/>
      <c r="W212" s="64"/>
    </row>
    <row r="213" spans="1:23" ht="14.65" customHeight="1" x14ac:dyDescent="0.35">
      <c r="A213" s="313" t="s">
        <v>36</v>
      </c>
      <c r="B213" s="310"/>
      <c r="C213" s="310"/>
      <c r="D213" s="310"/>
      <c r="E213" s="310"/>
      <c r="F213" s="310"/>
      <c r="G213" s="310"/>
      <c r="H213" s="310"/>
      <c r="I213" s="310"/>
      <c r="J213" s="310"/>
      <c r="K213" s="310"/>
      <c r="L213" s="310"/>
      <c r="M213" s="310"/>
      <c r="N213" s="310"/>
      <c r="O213" s="311"/>
      <c r="P213" s="85"/>
      <c r="Q213" s="85"/>
      <c r="R213" s="85"/>
      <c r="S213" s="85"/>
      <c r="T213" s="85"/>
      <c r="U213" s="85"/>
      <c r="V213" s="85"/>
      <c r="W213" s="64"/>
    </row>
    <row r="214" spans="1:23" x14ac:dyDescent="0.35">
      <c r="A214" s="233" t="s">
        <v>13</v>
      </c>
      <c r="B214" s="233" t="s">
        <v>14</v>
      </c>
      <c r="C214" s="233" t="s">
        <v>15</v>
      </c>
      <c r="D214" s="233" t="s">
        <v>16</v>
      </c>
      <c r="E214" s="233" t="s">
        <v>166</v>
      </c>
      <c r="F214" s="233" t="s">
        <v>167</v>
      </c>
      <c r="G214" s="233" t="s">
        <v>168</v>
      </c>
      <c r="H214" s="233" t="s">
        <v>169</v>
      </c>
      <c r="I214" s="233" t="s">
        <v>170</v>
      </c>
      <c r="J214" s="233" t="s">
        <v>171</v>
      </c>
      <c r="K214" s="233" t="s">
        <v>172</v>
      </c>
      <c r="L214" s="233" t="s">
        <v>173</v>
      </c>
      <c r="M214" s="233" t="s">
        <v>174</v>
      </c>
      <c r="N214" s="233" t="s">
        <v>175</v>
      </c>
      <c r="O214" s="233" t="s">
        <v>176</v>
      </c>
      <c r="P214" s="85"/>
      <c r="Q214" s="85"/>
      <c r="R214" s="85"/>
      <c r="S214" s="85"/>
      <c r="T214" s="85"/>
      <c r="U214" s="85"/>
      <c r="V214" s="85"/>
      <c r="W214" s="64"/>
    </row>
    <row r="215" spans="1:23" x14ac:dyDescent="0.3">
      <c r="A215" s="246">
        <v>0</v>
      </c>
      <c r="B215" s="145" t="s">
        <v>297</v>
      </c>
      <c r="C215" s="145" t="s">
        <v>297</v>
      </c>
      <c r="D215" s="151" t="s">
        <v>29</v>
      </c>
      <c r="E215" s="239" t="s">
        <v>25</v>
      </c>
      <c r="F215" s="239">
        <v>0</v>
      </c>
      <c r="G215" s="239">
        <v>10</v>
      </c>
      <c r="H215" s="246" t="s">
        <v>178</v>
      </c>
      <c r="I215" s="239" t="s">
        <v>179</v>
      </c>
      <c r="J215" s="244">
        <v>1</v>
      </c>
      <c r="K215" s="244">
        <v>5</v>
      </c>
      <c r="L215" s="246">
        <v>1000</v>
      </c>
      <c r="M215" s="246">
        <v>1000</v>
      </c>
      <c r="N215" s="246">
        <v>1000</v>
      </c>
      <c r="O215" s="246"/>
      <c r="P215" s="85"/>
      <c r="Q215" s="85"/>
      <c r="R215" s="85"/>
      <c r="S215" s="85"/>
      <c r="T215" s="85"/>
      <c r="U215" s="85"/>
      <c r="V215" s="85"/>
      <c r="W215" s="64"/>
    </row>
    <row r="216" spans="1:23" x14ac:dyDescent="0.3">
      <c r="A216" s="246">
        <v>1</v>
      </c>
      <c r="B216" s="145" t="s">
        <v>298</v>
      </c>
      <c r="C216" s="145" t="s">
        <v>298</v>
      </c>
      <c r="D216" s="151" t="s">
        <v>29</v>
      </c>
      <c r="E216" s="239" t="s">
        <v>25</v>
      </c>
      <c r="F216" s="239">
        <v>0</v>
      </c>
      <c r="G216" s="246">
        <v>10</v>
      </c>
      <c r="H216" s="246" t="s">
        <v>178</v>
      </c>
      <c r="I216" s="239" t="s">
        <v>179</v>
      </c>
      <c r="J216" s="244">
        <v>1</v>
      </c>
      <c r="K216" s="244">
        <v>5</v>
      </c>
      <c r="L216" s="246">
        <v>1000</v>
      </c>
      <c r="M216" s="246">
        <v>1000</v>
      </c>
      <c r="N216" s="246">
        <v>1000</v>
      </c>
      <c r="O216" s="246"/>
      <c r="P216" s="85"/>
      <c r="Q216" s="85"/>
      <c r="R216" s="85"/>
      <c r="S216" s="85"/>
      <c r="T216" s="85"/>
      <c r="U216" s="85"/>
      <c r="V216" s="85"/>
      <c r="W216" s="64"/>
    </row>
    <row r="217" spans="1:23" x14ac:dyDescent="0.3">
      <c r="A217" s="246">
        <v>2</v>
      </c>
      <c r="B217" s="152" t="s">
        <v>299</v>
      </c>
      <c r="C217" s="152" t="s">
        <v>299</v>
      </c>
      <c r="D217" s="151" t="s">
        <v>29</v>
      </c>
      <c r="E217" s="239" t="s">
        <v>25</v>
      </c>
      <c r="F217" s="239">
        <v>0</v>
      </c>
      <c r="G217" s="246">
        <v>10</v>
      </c>
      <c r="H217" s="246" t="s">
        <v>178</v>
      </c>
      <c r="I217" s="239" t="s">
        <v>179</v>
      </c>
      <c r="J217" s="244">
        <v>1</v>
      </c>
      <c r="K217" s="244">
        <v>5</v>
      </c>
      <c r="L217" s="246">
        <v>1000</v>
      </c>
      <c r="M217" s="246">
        <v>1000</v>
      </c>
      <c r="N217" s="246">
        <v>1000</v>
      </c>
      <c r="O217" s="246"/>
      <c r="P217" s="85"/>
      <c r="Q217" s="85"/>
      <c r="R217" s="85"/>
      <c r="S217" s="85"/>
      <c r="T217" s="85"/>
      <c r="U217" s="85"/>
      <c r="V217" s="85"/>
      <c r="W217" s="64"/>
    </row>
    <row r="218" spans="1:23" x14ac:dyDescent="0.3">
      <c r="A218" s="246">
        <v>3</v>
      </c>
      <c r="B218" s="152" t="s">
        <v>300</v>
      </c>
      <c r="C218" s="152" t="s">
        <v>300</v>
      </c>
      <c r="D218" s="151" t="s">
        <v>29</v>
      </c>
      <c r="E218" s="239" t="s">
        <v>25</v>
      </c>
      <c r="F218" s="239">
        <v>0</v>
      </c>
      <c r="G218" s="246">
        <v>10</v>
      </c>
      <c r="H218" s="246" t="s">
        <v>178</v>
      </c>
      <c r="I218" s="239" t="s">
        <v>179</v>
      </c>
      <c r="J218" s="244">
        <v>1</v>
      </c>
      <c r="K218" s="244">
        <v>5</v>
      </c>
      <c r="L218" s="246">
        <v>1000</v>
      </c>
      <c r="M218" s="246">
        <v>1000</v>
      </c>
      <c r="N218" s="246">
        <v>1000</v>
      </c>
      <c r="O218" s="246"/>
      <c r="P218" s="85"/>
      <c r="Q218" s="85"/>
      <c r="R218" s="85"/>
      <c r="S218" s="85"/>
      <c r="T218" s="85"/>
      <c r="U218" s="85"/>
      <c r="V218" s="85"/>
      <c r="W218" s="64"/>
    </row>
    <row r="219" spans="1:23" x14ac:dyDescent="0.3">
      <c r="A219" s="246">
        <v>4</v>
      </c>
      <c r="B219" s="145" t="s">
        <v>301</v>
      </c>
      <c r="C219" s="145" t="s">
        <v>301</v>
      </c>
      <c r="D219" s="151" t="s">
        <v>29</v>
      </c>
      <c r="E219" s="239" t="s">
        <v>25</v>
      </c>
      <c r="F219" s="239">
        <v>0</v>
      </c>
      <c r="G219" s="246">
        <v>10</v>
      </c>
      <c r="H219" s="246" t="s">
        <v>178</v>
      </c>
      <c r="I219" s="239" t="s">
        <v>179</v>
      </c>
      <c r="J219" s="244">
        <v>1</v>
      </c>
      <c r="K219" s="244">
        <v>5</v>
      </c>
      <c r="L219" s="246">
        <v>1000</v>
      </c>
      <c r="M219" s="246">
        <v>1000</v>
      </c>
      <c r="N219" s="246">
        <v>1000</v>
      </c>
      <c r="O219" s="246"/>
      <c r="P219" s="85"/>
      <c r="Q219" s="85"/>
      <c r="R219" s="85"/>
      <c r="S219" s="85"/>
      <c r="T219" s="85"/>
      <c r="U219" s="85"/>
      <c r="V219" s="85"/>
      <c r="W219" s="64"/>
    </row>
    <row r="220" spans="1:23" x14ac:dyDescent="0.3">
      <c r="A220" s="246">
        <v>5</v>
      </c>
      <c r="B220" s="145" t="s">
        <v>302</v>
      </c>
      <c r="C220" s="145" t="s">
        <v>302</v>
      </c>
      <c r="D220" s="151" t="s">
        <v>29</v>
      </c>
      <c r="E220" s="239" t="s">
        <v>25</v>
      </c>
      <c r="F220" s="239">
        <v>0</v>
      </c>
      <c r="G220" s="246">
        <v>10</v>
      </c>
      <c r="H220" s="246" t="s">
        <v>178</v>
      </c>
      <c r="I220" s="239" t="s">
        <v>179</v>
      </c>
      <c r="J220" s="244">
        <v>1</v>
      </c>
      <c r="K220" s="244">
        <v>5</v>
      </c>
      <c r="L220" s="246">
        <v>1000</v>
      </c>
      <c r="M220" s="246">
        <v>1000</v>
      </c>
      <c r="N220" s="246">
        <v>1000</v>
      </c>
      <c r="O220" s="246"/>
      <c r="P220" s="85"/>
      <c r="Q220" s="85"/>
      <c r="R220" s="85"/>
      <c r="S220" s="85"/>
      <c r="T220" s="85"/>
      <c r="U220" s="85"/>
      <c r="V220" s="85"/>
      <c r="W220" s="64"/>
    </row>
    <row r="221" spans="1:23" x14ac:dyDescent="0.3">
      <c r="A221" s="246">
        <v>6</v>
      </c>
      <c r="B221" s="145" t="s">
        <v>303</v>
      </c>
      <c r="C221" s="145" t="s">
        <v>303</v>
      </c>
      <c r="D221" s="151" t="s">
        <v>29</v>
      </c>
      <c r="E221" s="239" t="s">
        <v>25</v>
      </c>
      <c r="F221" s="239">
        <v>0</v>
      </c>
      <c r="G221" s="246">
        <v>10</v>
      </c>
      <c r="H221" s="246" t="s">
        <v>178</v>
      </c>
      <c r="I221" s="239" t="s">
        <v>179</v>
      </c>
      <c r="J221" s="244">
        <v>1</v>
      </c>
      <c r="K221" s="244">
        <v>5</v>
      </c>
      <c r="L221" s="246">
        <v>1000</v>
      </c>
      <c r="M221" s="246">
        <v>1000</v>
      </c>
      <c r="N221" s="246">
        <v>1000</v>
      </c>
      <c r="O221" s="246"/>
      <c r="P221" s="85"/>
      <c r="Q221" s="85"/>
      <c r="R221" s="85"/>
      <c r="S221" s="85"/>
      <c r="T221" s="85"/>
      <c r="U221" s="85"/>
      <c r="V221" s="85"/>
      <c r="W221" s="64"/>
    </row>
    <row r="222" spans="1:23" x14ac:dyDescent="0.3">
      <c r="A222" s="246">
        <v>7</v>
      </c>
      <c r="B222" s="152" t="s">
        <v>304</v>
      </c>
      <c r="C222" s="152" t="s">
        <v>304</v>
      </c>
      <c r="D222" s="151" t="s">
        <v>29</v>
      </c>
      <c r="E222" s="239" t="s">
        <v>25</v>
      </c>
      <c r="F222" s="239">
        <v>0</v>
      </c>
      <c r="G222" s="246">
        <v>10</v>
      </c>
      <c r="H222" s="246" t="s">
        <v>178</v>
      </c>
      <c r="I222" s="239" t="s">
        <v>179</v>
      </c>
      <c r="J222" s="244">
        <v>1</v>
      </c>
      <c r="K222" s="244">
        <v>5</v>
      </c>
      <c r="L222" s="246">
        <v>1000</v>
      </c>
      <c r="M222" s="246">
        <v>1000</v>
      </c>
      <c r="N222" s="246">
        <v>1000</v>
      </c>
      <c r="O222" s="246"/>
      <c r="P222" s="85"/>
      <c r="Q222" s="85"/>
      <c r="R222" s="85"/>
      <c r="S222" s="85"/>
      <c r="T222" s="85"/>
      <c r="U222" s="85"/>
      <c r="V222" s="85"/>
      <c r="W222" s="64"/>
    </row>
    <row r="223" spans="1:23" ht="13.4" customHeight="1" thickBot="1" x14ac:dyDescent="0.4">
      <c r="A223" s="66"/>
      <c r="B223" s="66"/>
      <c r="C223" s="66"/>
      <c r="D223" s="66"/>
      <c r="E223" s="66"/>
      <c r="F223" s="66"/>
      <c r="G223" s="66"/>
      <c r="H223" s="66"/>
      <c r="I223" s="66"/>
      <c r="J223" s="66"/>
      <c r="K223" s="66"/>
      <c r="L223" s="66"/>
      <c r="M223" s="66"/>
      <c r="N223" s="66"/>
      <c r="O223" s="66"/>
      <c r="P223" s="66"/>
      <c r="Q223" s="66"/>
      <c r="R223" s="66"/>
      <c r="S223" s="66"/>
      <c r="T223" s="66"/>
      <c r="U223" s="66"/>
      <c r="V223" s="66"/>
      <c r="W223" s="67"/>
    </row>
    <row r="224" spans="1:23" ht="13.4" customHeight="1" thickTop="1" x14ac:dyDescent="0.35">
      <c r="A224" s="69"/>
      <c r="B224" s="69"/>
      <c r="C224" s="69"/>
      <c r="D224" s="69"/>
      <c r="E224" s="69"/>
      <c r="F224" s="69"/>
      <c r="G224" s="69"/>
      <c r="H224" s="69"/>
      <c r="I224" s="69"/>
      <c r="J224" s="69"/>
      <c r="K224" s="69"/>
      <c r="L224" s="69"/>
      <c r="M224" s="69"/>
      <c r="N224" s="69"/>
      <c r="O224" s="69"/>
      <c r="P224" s="69"/>
      <c r="Q224" s="69"/>
      <c r="R224" s="69"/>
      <c r="S224" s="69"/>
      <c r="T224" s="69"/>
      <c r="U224" s="69"/>
      <c r="V224" s="69"/>
      <c r="W224" s="61"/>
    </row>
    <row r="225" spans="1:23" ht="14.65" customHeight="1" x14ac:dyDescent="0.35">
      <c r="A225" s="312" t="s">
        <v>7</v>
      </c>
      <c r="B225" s="310"/>
      <c r="C225" s="310"/>
      <c r="D225" s="310"/>
      <c r="E225" s="310"/>
      <c r="F225" s="310"/>
      <c r="G225" s="310"/>
      <c r="H225" s="310"/>
      <c r="I225" s="310"/>
      <c r="J225" s="310"/>
      <c r="K225" s="310"/>
      <c r="L225" s="310"/>
      <c r="M225" s="310"/>
      <c r="N225" s="310"/>
      <c r="O225" s="310"/>
      <c r="P225" s="310"/>
      <c r="Q225" s="310"/>
      <c r="R225" s="310"/>
      <c r="S225" s="310"/>
      <c r="T225" s="310"/>
      <c r="U225" s="310"/>
      <c r="V225" s="311"/>
      <c r="W225" s="61"/>
    </row>
    <row r="226" spans="1:23" x14ac:dyDescent="0.35">
      <c r="A226" s="59" t="s">
        <v>10</v>
      </c>
      <c r="B226" s="59" t="s">
        <v>11</v>
      </c>
      <c r="C226" s="59" t="s">
        <v>12</v>
      </c>
      <c r="D226" s="59" t="s">
        <v>13</v>
      </c>
      <c r="E226" s="59" t="s">
        <v>14</v>
      </c>
      <c r="F226" s="59" t="s">
        <v>15</v>
      </c>
      <c r="G226" s="59" t="s">
        <v>16</v>
      </c>
      <c r="H226" s="59" t="s">
        <v>17</v>
      </c>
      <c r="I226" s="59" t="s">
        <v>18</v>
      </c>
      <c r="J226" s="59" t="s">
        <v>19</v>
      </c>
      <c r="K226" s="59" t="s">
        <v>20</v>
      </c>
      <c r="L226" s="59" t="s">
        <v>147</v>
      </c>
      <c r="M226" s="59" t="s">
        <v>148</v>
      </c>
      <c r="N226" s="59" t="s">
        <v>149</v>
      </c>
      <c r="O226" s="59" t="s">
        <v>150</v>
      </c>
      <c r="P226" s="59" t="s">
        <v>151</v>
      </c>
      <c r="Q226" s="59" t="s">
        <v>152</v>
      </c>
      <c r="R226" s="59" t="s">
        <v>153</v>
      </c>
      <c r="S226" s="59" t="s">
        <v>154</v>
      </c>
      <c r="T226" s="59" t="s">
        <v>155</v>
      </c>
      <c r="U226" s="59" t="s">
        <v>156</v>
      </c>
      <c r="V226" s="59" t="s">
        <v>157</v>
      </c>
      <c r="W226" s="111"/>
    </row>
    <row r="227" spans="1:23" x14ac:dyDescent="0.3">
      <c r="A227" s="245" t="s">
        <v>158</v>
      </c>
      <c r="B227" s="240" t="s">
        <v>159</v>
      </c>
      <c r="C227" s="240">
        <v>0</v>
      </c>
      <c r="D227" s="245" t="s">
        <v>305</v>
      </c>
      <c r="E227" s="245" t="s">
        <v>305</v>
      </c>
      <c r="F227" s="245"/>
      <c r="G227" s="151" t="s">
        <v>29</v>
      </c>
      <c r="H227" s="245" t="s">
        <v>161</v>
      </c>
      <c r="I227" s="245"/>
      <c r="J227" s="245"/>
      <c r="K227" s="60">
        <v>36892</v>
      </c>
      <c r="L227" s="60" t="s">
        <v>162</v>
      </c>
      <c r="M227" s="60" t="s">
        <v>45</v>
      </c>
      <c r="N227" s="238" t="s">
        <v>163</v>
      </c>
      <c r="O227" s="238" t="s">
        <v>25</v>
      </c>
      <c r="P227" s="238" t="s">
        <v>164</v>
      </c>
      <c r="Q227" s="113" t="s">
        <v>25</v>
      </c>
      <c r="R227" s="113" t="s">
        <v>45</v>
      </c>
      <c r="S227" s="245" t="s">
        <v>165</v>
      </c>
      <c r="T227" s="238">
        <v>250000</v>
      </c>
      <c r="U227" s="238" t="s">
        <v>25</v>
      </c>
      <c r="V227" s="238" t="s">
        <v>25</v>
      </c>
      <c r="W227" s="114"/>
    </row>
    <row r="228" spans="1:23" x14ac:dyDescent="0.35">
      <c r="A228" s="74"/>
      <c r="B228" s="74"/>
      <c r="C228" s="74"/>
      <c r="D228" s="74"/>
      <c r="E228" s="74"/>
      <c r="F228" s="74"/>
      <c r="G228" s="74"/>
      <c r="H228" s="74"/>
      <c r="I228" s="74"/>
      <c r="J228" s="74"/>
      <c r="K228" s="74"/>
      <c r="L228" s="74"/>
      <c r="M228" s="74"/>
      <c r="N228" s="74"/>
      <c r="O228" s="74"/>
      <c r="P228" s="74"/>
      <c r="Q228" s="74"/>
      <c r="R228" s="74"/>
      <c r="S228" s="74"/>
      <c r="T228" s="74"/>
      <c r="U228" s="74"/>
      <c r="V228" s="74"/>
      <c r="W228" s="61"/>
    </row>
    <row r="229" spans="1:23" ht="14.65" customHeight="1" x14ac:dyDescent="0.35">
      <c r="A229" s="312" t="s">
        <v>36</v>
      </c>
      <c r="B229" s="310"/>
      <c r="C229" s="310"/>
      <c r="D229" s="310"/>
      <c r="E229" s="310"/>
      <c r="F229" s="310"/>
      <c r="G229" s="310"/>
      <c r="H229" s="310"/>
      <c r="I229" s="310"/>
      <c r="J229" s="310"/>
      <c r="K229" s="310"/>
      <c r="L229" s="310"/>
      <c r="M229" s="310"/>
      <c r="N229" s="310"/>
      <c r="O229" s="311"/>
      <c r="P229" s="74"/>
      <c r="Q229" s="74"/>
      <c r="R229" s="74"/>
      <c r="S229" s="74"/>
      <c r="T229" s="74"/>
      <c r="U229" s="74"/>
      <c r="V229" s="74"/>
      <c r="W229" s="61"/>
    </row>
    <row r="230" spans="1:23" x14ac:dyDescent="0.35">
      <c r="A230" s="59" t="s">
        <v>13</v>
      </c>
      <c r="B230" s="59" t="s">
        <v>14</v>
      </c>
      <c r="C230" s="59" t="s">
        <v>15</v>
      </c>
      <c r="D230" s="59" t="s">
        <v>16</v>
      </c>
      <c r="E230" s="59" t="s">
        <v>166</v>
      </c>
      <c r="F230" s="59" t="s">
        <v>167</v>
      </c>
      <c r="G230" s="59" t="s">
        <v>168</v>
      </c>
      <c r="H230" s="59" t="s">
        <v>169</v>
      </c>
      <c r="I230" s="59" t="s">
        <v>170</v>
      </c>
      <c r="J230" s="59" t="s">
        <v>171</v>
      </c>
      <c r="K230" s="59" t="s">
        <v>172</v>
      </c>
      <c r="L230" s="59" t="s">
        <v>173</v>
      </c>
      <c r="M230" s="59" t="s">
        <v>174</v>
      </c>
      <c r="N230" s="59" t="s">
        <v>175</v>
      </c>
      <c r="O230" s="59" t="s">
        <v>176</v>
      </c>
      <c r="P230" s="74"/>
      <c r="Q230" s="74"/>
      <c r="R230" s="74"/>
      <c r="S230" s="74"/>
      <c r="T230" s="74"/>
      <c r="U230" s="74"/>
      <c r="V230" s="74"/>
      <c r="W230" s="61"/>
    </row>
    <row r="231" spans="1:23" x14ac:dyDescent="0.3">
      <c r="A231" s="245">
        <v>0</v>
      </c>
      <c r="B231" s="241" t="s">
        <v>306</v>
      </c>
      <c r="C231" s="241" t="s">
        <v>306</v>
      </c>
      <c r="D231" s="151" t="s">
        <v>29</v>
      </c>
      <c r="E231" s="238" t="s">
        <v>25</v>
      </c>
      <c r="F231" s="238">
        <v>0</v>
      </c>
      <c r="G231" s="238">
        <v>10</v>
      </c>
      <c r="H231" s="245" t="s">
        <v>178</v>
      </c>
      <c r="I231" s="238" t="s">
        <v>179</v>
      </c>
      <c r="J231" s="244">
        <v>1</v>
      </c>
      <c r="K231" s="244">
        <v>5</v>
      </c>
      <c r="L231" s="245">
        <v>1000</v>
      </c>
      <c r="M231" s="245">
        <v>1000</v>
      </c>
      <c r="N231" s="245">
        <v>1000</v>
      </c>
      <c r="O231" s="245"/>
      <c r="P231" s="74"/>
      <c r="Q231" s="74"/>
      <c r="R231" s="74"/>
      <c r="S231" s="74"/>
      <c r="T231" s="74"/>
      <c r="U231" s="74"/>
      <c r="V231" s="74"/>
      <c r="W231" s="61"/>
    </row>
    <row r="232" spans="1:23" x14ac:dyDescent="0.3">
      <c r="A232" s="245">
        <v>1</v>
      </c>
      <c r="B232" s="241" t="s">
        <v>307</v>
      </c>
      <c r="C232" s="241" t="s">
        <v>307</v>
      </c>
      <c r="D232" s="151" t="s">
        <v>29</v>
      </c>
      <c r="E232" s="238" t="s">
        <v>25</v>
      </c>
      <c r="F232" s="238">
        <v>0</v>
      </c>
      <c r="G232" s="245">
        <v>10</v>
      </c>
      <c r="H232" s="245" t="s">
        <v>178</v>
      </c>
      <c r="I232" s="238" t="s">
        <v>179</v>
      </c>
      <c r="J232" s="244">
        <v>1</v>
      </c>
      <c r="K232" s="244">
        <v>5</v>
      </c>
      <c r="L232" s="245">
        <v>1000</v>
      </c>
      <c r="M232" s="245">
        <v>1000</v>
      </c>
      <c r="N232" s="245">
        <v>1000</v>
      </c>
      <c r="O232" s="245"/>
      <c r="P232" s="74"/>
      <c r="Q232" s="74"/>
      <c r="R232" s="74"/>
      <c r="S232" s="74"/>
      <c r="T232" s="74"/>
      <c r="U232" s="74"/>
      <c r="V232" s="74"/>
      <c r="W232" s="61"/>
    </row>
    <row r="233" spans="1:23" x14ac:dyDescent="0.3">
      <c r="A233" s="245">
        <v>2</v>
      </c>
      <c r="B233" s="241" t="s">
        <v>308</v>
      </c>
      <c r="C233" s="241" t="s">
        <v>308</v>
      </c>
      <c r="D233" s="151" t="s">
        <v>29</v>
      </c>
      <c r="E233" s="238" t="s">
        <v>25</v>
      </c>
      <c r="F233" s="238">
        <v>0</v>
      </c>
      <c r="G233" s="245">
        <v>10</v>
      </c>
      <c r="H233" s="245" t="s">
        <v>178</v>
      </c>
      <c r="I233" s="238" t="s">
        <v>179</v>
      </c>
      <c r="J233" s="244">
        <v>1</v>
      </c>
      <c r="K233" s="244">
        <v>5</v>
      </c>
      <c r="L233" s="245">
        <v>1000</v>
      </c>
      <c r="M233" s="245">
        <v>1000</v>
      </c>
      <c r="N233" s="245">
        <v>1000</v>
      </c>
      <c r="O233" s="245"/>
      <c r="P233" s="74"/>
      <c r="Q233" s="74"/>
      <c r="R233" s="74"/>
      <c r="S233" s="74"/>
      <c r="T233" s="74"/>
      <c r="U233" s="74"/>
      <c r="V233" s="74"/>
      <c r="W233" s="61"/>
    </row>
    <row r="234" spans="1:23" x14ac:dyDescent="0.3">
      <c r="A234" s="245">
        <v>3</v>
      </c>
      <c r="B234" s="241" t="s">
        <v>309</v>
      </c>
      <c r="C234" s="241" t="s">
        <v>309</v>
      </c>
      <c r="D234" s="151" t="s">
        <v>29</v>
      </c>
      <c r="E234" s="238" t="s">
        <v>25</v>
      </c>
      <c r="F234" s="238">
        <v>0</v>
      </c>
      <c r="G234" s="245">
        <v>10</v>
      </c>
      <c r="H234" s="245" t="s">
        <v>178</v>
      </c>
      <c r="I234" s="238" t="s">
        <v>179</v>
      </c>
      <c r="J234" s="244">
        <v>1</v>
      </c>
      <c r="K234" s="244">
        <v>5</v>
      </c>
      <c r="L234" s="245">
        <v>1000</v>
      </c>
      <c r="M234" s="245">
        <v>1000</v>
      </c>
      <c r="N234" s="245">
        <v>1000</v>
      </c>
      <c r="O234" s="245"/>
      <c r="P234" s="74"/>
      <c r="Q234" s="74"/>
      <c r="R234" s="74"/>
      <c r="S234" s="74"/>
      <c r="T234" s="74"/>
      <c r="U234" s="74"/>
      <c r="V234" s="74"/>
      <c r="W234" s="61"/>
    </row>
    <row r="235" spans="1:23" x14ac:dyDescent="0.3">
      <c r="A235" s="245">
        <v>4</v>
      </c>
      <c r="B235" s="241" t="s">
        <v>310</v>
      </c>
      <c r="C235" s="241" t="s">
        <v>310</v>
      </c>
      <c r="D235" s="151" t="s">
        <v>29</v>
      </c>
      <c r="E235" s="238" t="s">
        <v>25</v>
      </c>
      <c r="F235" s="238">
        <v>0</v>
      </c>
      <c r="G235" s="245">
        <v>10</v>
      </c>
      <c r="H235" s="245" t="s">
        <v>178</v>
      </c>
      <c r="I235" s="238" t="s">
        <v>179</v>
      </c>
      <c r="J235" s="244">
        <v>1</v>
      </c>
      <c r="K235" s="244">
        <v>5</v>
      </c>
      <c r="L235" s="245">
        <v>1000</v>
      </c>
      <c r="M235" s="245">
        <v>1000</v>
      </c>
      <c r="N235" s="245">
        <v>1000</v>
      </c>
      <c r="O235" s="245"/>
      <c r="P235" s="74"/>
      <c r="Q235" s="74"/>
      <c r="R235" s="74"/>
      <c r="S235" s="74"/>
      <c r="T235" s="74"/>
      <c r="U235" s="74"/>
      <c r="V235" s="74"/>
      <c r="W235" s="61"/>
    </row>
    <row r="236" spans="1:23" x14ac:dyDescent="0.3">
      <c r="A236" s="245">
        <v>5</v>
      </c>
      <c r="B236" s="241" t="s">
        <v>311</v>
      </c>
      <c r="C236" s="241" t="s">
        <v>311</v>
      </c>
      <c r="D236" s="151" t="s">
        <v>29</v>
      </c>
      <c r="E236" s="238" t="s">
        <v>25</v>
      </c>
      <c r="F236" s="238">
        <v>0</v>
      </c>
      <c r="G236" s="245">
        <v>10</v>
      </c>
      <c r="H236" s="245" t="s">
        <v>178</v>
      </c>
      <c r="I236" s="238" t="s">
        <v>179</v>
      </c>
      <c r="J236" s="244">
        <v>1</v>
      </c>
      <c r="K236" s="244">
        <v>5</v>
      </c>
      <c r="L236" s="245">
        <v>1000</v>
      </c>
      <c r="M236" s="245">
        <v>1000</v>
      </c>
      <c r="N236" s="245">
        <v>1000</v>
      </c>
      <c r="O236" s="245"/>
      <c r="P236" s="74"/>
      <c r="Q236" s="74"/>
      <c r="R236" s="74"/>
      <c r="S236" s="74"/>
      <c r="T236" s="74"/>
      <c r="U236" s="74"/>
      <c r="V236" s="74"/>
      <c r="W236" s="61"/>
    </row>
    <row r="237" spans="1:23" x14ac:dyDescent="0.3">
      <c r="A237" s="245">
        <v>6</v>
      </c>
      <c r="B237" s="241" t="s">
        <v>312</v>
      </c>
      <c r="C237" s="241" t="s">
        <v>312</v>
      </c>
      <c r="D237" s="151" t="s">
        <v>29</v>
      </c>
      <c r="E237" s="238" t="s">
        <v>25</v>
      </c>
      <c r="F237" s="238">
        <v>0</v>
      </c>
      <c r="G237" s="245">
        <v>10</v>
      </c>
      <c r="H237" s="245" t="s">
        <v>178</v>
      </c>
      <c r="I237" s="238" t="s">
        <v>179</v>
      </c>
      <c r="J237" s="244">
        <v>1</v>
      </c>
      <c r="K237" s="244">
        <v>5</v>
      </c>
      <c r="L237" s="245">
        <v>1000</v>
      </c>
      <c r="M237" s="245">
        <v>1000</v>
      </c>
      <c r="N237" s="245">
        <v>1000</v>
      </c>
      <c r="O237" s="245"/>
      <c r="P237" s="74"/>
      <c r="Q237" s="74"/>
      <c r="R237" s="74"/>
      <c r="S237" s="74"/>
      <c r="T237" s="74"/>
      <c r="U237" s="74"/>
      <c r="V237" s="74"/>
      <c r="W237" s="61"/>
    </row>
    <row r="238" spans="1:23" x14ac:dyDescent="0.3">
      <c r="A238" s="245">
        <v>7</v>
      </c>
      <c r="B238" s="241" t="s">
        <v>313</v>
      </c>
      <c r="C238" s="241" t="s">
        <v>313</v>
      </c>
      <c r="D238" s="151" t="s">
        <v>29</v>
      </c>
      <c r="E238" s="238" t="s">
        <v>25</v>
      </c>
      <c r="F238" s="238">
        <v>0</v>
      </c>
      <c r="G238" s="245">
        <v>10</v>
      </c>
      <c r="H238" s="245" t="s">
        <v>178</v>
      </c>
      <c r="I238" s="238" t="s">
        <v>179</v>
      </c>
      <c r="J238" s="244">
        <v>1</v>
      </c>
      <c r="K238" s="244">
        <v>5</v>
      </c>
      <c r="L238" s="245">
        <v>1000</v>
      </c>
      <c r="M238" s="245">
        <v>1000</v>
      </c>
      <c r="N238" s="245">
        <v>1000</v>
      </c>
      <c r="O238" s="245"/>
      <c r="P238" s="74"/>
      <c r="Q238" s="74"/>
      <c r="R238" s="74"/>
      <c r="S238" s="74"/>
      <c r="T238" s="74"/>
      <c r="U238" s="74"/>
      <c r="V238" s="74"/>
      <c r="W238" s="61"/>
    </row>
    <row r="239" spans="1:23" ht="13.4" customHeight="1" thickBot="1" x14ac:dyDescent="0.4">
      <c r="A239" s="62"/>
      <c r="B239" s="62"/>
      <c r="C239" s="62"/>
      <c r="D239" s="62"/>
      <c r="E239" s="62"/>
      <c r="F239" s="62"/>
      <c r="G239" s="62"/>
      <c r="H239" s="62"/>
      <c r="I239" s="62"/>
      <c r="J239" s="62"/>
      <c r="K239" s="62"/>
      <c r="L239" s="62"/>
      <c r="M239" s="62"/>
      <c r="N239" s="62"/>
      <c r="O239" s="62"/>
      <c r="P239" s="62"/>
      <c r="Q239" s="62"/>
      <c r="R239" s="62"/>
      <c r="S239" s="62"/>
      <c r="T239" s="62"/>
      <c r="U239" s="62"/>
      <c r="V239" s="62"/>
      <c r="W239" s="63"/>
    </row>
    <row r="240" spans="1:23" ht="13.4" customHeight="1" thickTop="1" x14ac:dyDescent="0.35"/>
  </sheetData>
  <mergeCells count="30">
    <mergeCell ref="A37:O37"/>
    <mergeCell ref="A1:V1"/>
    <mergeCell ref="A5:O5"/>
    <mergeCell ref="A17:V17"/>
    <mergeCell ref="A21:O21"/>
    <mergeCell ref="A33:V33"/>
    <mergeCell ref="A133:O133"/>
    <mergeCell ref="A49:V49"/>
    <mergeCell ref="A53:O53"/>
    <mergeCell ref="A65:V65"/>
    <mergeCell ref="A69:O69"/>
    <mergeCell ref="A81:V81"/>
    <mergeCell ref="A85:O85"/>
    <mergeCell ref="A97:V97"/>
    <mergeCell ref="A101:O101"/>
    <mergeCell ref="A113:V113"/>
    <mergeCell ref="A117:O117"/>
    <mergeCell ref="A129:V129"/>
    <mergeCell ref="A229:O229"/>
    <mergeCell ref="A145:V145"/>
    <mergeCell ref="A149:O149"/>
    <mergeCell ref="A161:V161"/>
    <mergeCell ref="A165:O165"/>
    <mergeCell ref="A177:V177"/>
    <mergeCell ref="A181:O181"/>
    <mergeCell ref="A193:V193"/>
    <mergeCell ref="A197:O197"/>
    <mergeCell ref="A209:V209"/>
    <mergeCell ref="A213:O213"/>
    <mergeCell ref="A225:V225"/>
  </mergeCells>
  <dataValidations count="18">
    <dataValidation type="list" allowBlank="1" showInputMessage="1" showErrorMessage="1" sqref="S3" xr:uid="{00000000-0002-0000-0200-000000000000}">
      <formula1>"Finite,Finite - Retriggerable,Continuous,Ad-Hoc"</formula1>
    </dataValidation>
    <dataValidation type="decimal" operator="greaterThan" allowBlank="1" showInputMessage="1" showErrorMessage="1" sqref="J183:J190 J199:J206 J7:J14 J215:J222 J23:J30 J39:J46 J55:J62 J71:J78 J87:J94 J103:J110 J231:J238 J119:J126 J151:J158 J167:J174 J135:J142" xr:uid="{00000000-0002-0000-0200-000001000000}">
      <formula1>0</formula1>
    </dataValidation>
    <dataValidation type="list" showInputMessage="1" showErrorMessage="1" sqref="I215:I222 I7:I14 I23:I30 I39:I46 I55:I62 I71:I78 I87:I94 I103:I110 I119:I126 I135:I142 I151:I158 I167:I174 I183:I190 I199:I206 I231:I238" xr:uid="{00000000-0002-0000-0200-000002000000}">
      <formula1>"'---,Aperture,Average,Decimate"</formula1>
    </dataValidation>
    <dataValidation type="list" showInputMessage="1" showErrorMessage="1" sqref="E7:E14 E39:E46 E71:E78 E103:E110 E135:E142 E167:E174 E199:E206 E231:E238 E23:E30 E55:E62 E87:E94 E119:E126 E151:E158 E183:E190 E215:E222" xr:uid="{00000000-0002-0000-0200-000003000000}">
      <formula1>"'---,10kHz,100kHz"</formula1>
    </dataValidation>
    <dataValidation type="list" allowBlank="1" showInputMessage="1" showErrorMessage="1" errorTitle="Invalid Source" error="Please choose a valid source" promptTitle="Trigger Slope" prompt="Choose whether the trigger occurs on the rising or falling edge of the requested trigger" sqref="R3 R19 R35 R51 R67 R83 R99 R115 R131 R147 R163 R179 R195 R211 R227" xr:uid="{00000000-0002-0000-0200-000004000000}">
      <formula1>"Rising,Falling"</formula1>
    </dataValidation>
    <dataValidation type="list" operator="greaterThan" allowBlank="1" showInputMessage="1" showErrorMessage="1" errorTitle="Invalid Source" error="Please choose a valid source" promptTitle="Reference Clock Active Edge" prompt="Choose a the edge that you want the device to sample on" sqref="M3 M19 M35 M51 M67 M83 M99 M115 M131 M147 M163 M179 M195 M211 M227" xr:uid="{00000000-0002-0000-0200-000005000000}">
      <formula1>"Rising, Falling"</formula1>
    </dataValidation>
    <dataValidation type="list" allowBlank="1" showInputMessage="1" showErrorMessage="1" errorTitle="Invalid Source" error="Please selecet a valid source" promptTitle="Trigger Destination" prompt="Destination terminal for Trigger Source" sqref="Q3 Q99 Q19 Q35 Q51 Q67 Q83 Q115 Q131 Q147 Q163 Q179 Q195 Q211 Q227" xr:uid="{00000000-0002-0000-0200-000006000000}">
      <formula1>"'---,PFI0,PFI1,PXI_Trig0,PXI_Trig1,PXI_Trig2,PXI_Trig3,PXI_Trig4,PXI_Trig5,PXI_Trig6,PXI_Trig7,PXI_Star"</formula1>
    </dataValidation>
    <dataValidation type="list" operator="greaterThan" allowBlank="1" showInputMessage="1" showErrorMessage="1" errorTitle="Invalid Source" error="Please choose a valid source" promptTitle="Reference Clock" prompt="Choose a valid reference clock" sqref="L83 L3 L211 L19 L35 L51 L67 L99 L115 L131 L147 L163 L179 L195 L227" xr:uid="{00000000-0002-0000-0200-000007000000}">
      <formula1>"OnboardClock,PXIe_Clk100"</formula1>
    </dataValidation>
    <dataValidation type="list" allowBlank="1" showInputMessage="1" showErrorMessage="1" promptTitle="Sample Duration" prompt="Duration in minutes that you want the finite acquisition to aquire samples" sqref="U3 U99 U19 U35 U51 U67 U83 U115 U131 U147 U163 U179 U195 U211 U227" xr:uid="{00000000-0002-0000-0200-000008000000}">
      <formula1>"'---"</formula1>
    </dataValidation>
    <dataValidation type="list" allowBlank="1" showInputMessage="1" showErrorMessage="1" errorTitle="Invalid Source" error="Please choose a valid source" promptTitle="Trigger Source" prompt="Select a Valid Trigger Source" sqref="P3 P51 P19 P211 P35 P67 P83 P99 P115 P131 P147 P163 P179 P195 P227" xr:uid="{00000000-0002-0000-0200-000009000000}">
      <formula1>"'---,ai0,ai1,ai2,ai3,ai4,ai5,ai6,ai7,PFI0,PFI1,PXI_Trig0,PXI_Trig1,PXI_Trig2,PXI_Trig3,PXI_Trig4,PXI_Trig5,PXI_Trig6,PXI_Trig7,PXI_Star"</formula1>
    </dataValidation>
    <dataValidation type="list" allowBlank="1" showInputMessage="1" showErrorMessage="1" promptTitle="Engine IP Address" prompt="IP address of the machine that the Engine is running on" sqref="B3 B19 B67 B35 B99 B131 B163 B195 B227 B51 B83 B115 B147 B179 B211" xr:uid="{00000000-0002-0000-0200-00000A000000}">
      <formula1>"LocalHost,192.168.1.98,192.168.1.99"</formula1>
    </dataValidation>
    <dataValidation allowBlank="1" showInputMessage="1" showErrorMessage="1" promptTitle="Engine Port Setting" prompt="This is the remote port that you are trying to connect to" sqref="C3 C19 C227 C35 C51 C67 C83 C99 C115 C131 C147 C163 C179 C195 C211" xr:uid="{00000000-0002-0000-0200-00000B000000}"/>
    <dataValidation type="list" allowBlank="1" showInputMessage="1" showErrorMessage="1" promptTitle="Pre Trigger" prompt="Pretrigger is only compatible with the finite sample mode" sqref="V3:W3 V99:W99 V19:W19 V35:W35 V51:W51 V67:W67 V83:W83 V115:W115 V131:W131 V147:W147 V163:W163 V179:W179 V195:W195 V211:W211 V227:W227" xr:uid="{00000000-0002-0000-0200-00000C000000}">
      <formula1>"'---"</formula1>
    </dataValidation>
    <dataValidation type="list" allowBlank="1" showInputMessage="1" showErrorMessage="1" promptTitle="Analog Edge Trigger Level" prompt="Trigger level for analog edge trigger only" sqref="O3 O51 O19 O211 O35 O67 O83 O99 O115 O131 O147 O163 O179 O195 O227" xr:uid="{00000000-0002-0000-0200-00000D000000}">
      <formula1>"'---"</formula1>
    </dataValidation>
    <dataValidation type="list" allowBlank="1" showInputMessage="1" showErrorMessage="1" errorTitle="Invalid" error="Not a valid Trigger Nethod" promptTitle="Triggering" prompt="Reference Triggers are only supported when doing a finite Acquisition " sqref="N3 N51 N19 N211 N35 N67 N83 N99 N115 N131 N147 N163 N179 N195 N227" xr:uid="{00000000-0002-0000-0200-00000E000000}">
      <formula1>"'---,Start-Analog Edge,Start-Digital Edge,Reference-Analog Edge, Reference-Digital Edge"</formula1>
    </dataValidation>
    <dataValidation type="list" allowBlank="1" showInputMessage="1" showErrorMessage="1" sqref="S131 S99 S147 S163 S19 S179 S195 S211 S227 S35 S51 S67 S83 S115" xr:uid="{00000000-0002-0000-0200-00000F000000}">
      <formula1>"Finite,Continuous"</formula1>
    </dataValidation>
    <dataValidation type="list" allowBlank="1" showInputMessage="1" showErrorMessage="1" sqref="G3 D39:D46 D7:D14 G19 G147 D167:D174 G163 D199:D206 G35 D215:D222 G83 D55:D62 G99 D135:D142 G115 D151:D158 G131 D103:D110 G51 D183:D190 G67 D71:D78 G179 D119:D126 G195 D231:D238 G211 D23:D30 G227 D87:D94" xr:uid="{00000000-0002-0000-0200-000010000000}">
      <formula1>"Yes,'---"</formula1>
    </dataValidation>
    <dataValidation type="date" operator="greaterThan" allowBlank="1" showInputMessage="1" showErrorMessage="1" sqref="K147 K3 K163 K19 K179 K195 K35 K51 K211 K227 K131 K67 K83 K99 K115" xr:uid="{00000000-0002-0000-0200-000011000000}">
      <formula1>36526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anchor moveWithCells="1">
                  <from>
                    <xdr:col>23</xdr:col>
                    <xdr:colOff>222250</xdr:colOff>
                    <xdr:row>0</xdr:row>
                    <xdr:rowOff>114300</xdr:rowOff>
                  </from>
                  <to>
                    <xdr:col>24</xdr:col>
                    <xdr:colOff>889000</xdr:colOff>
                    <xdr:row>4</xdr:row>
                    <xdr:rowOff>152400</xdr:rowOff>
                  </to>
                </anchor>
              </controlPr>
            </control>
          </mc:Choice>
        </mc:AlternateContent>
        <mc:AlternateContent xmlns:mc="http://schemas.openxmlformats.org/markup-compatibility/2006">
          <mc:Choice Requires="x14">
            <control shapeId="27650" r:id="rId5" name="Button 2">
              <controlPr defaultSize="0" print="0" autoFill="0" autoPict="0">
                <anchor moveWithCells="1">
                  <from>
                    <xdr:col>24</xdr:col>
                    <xdr:colOff>1155700</xdr:colOff>
                    <xdr:row>0</xdr:row>
                    <xdr:rowOff>114300</xdr:rowOff>
                  </from>
                  <to>
                    <xdr:col>26</xdr:col>
                    <xdr:colOff>88900</xdr:colOff>
                    <xdr:row>4</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L34"/>
  <sheetViews>
    <sheetView zoomScaleNormal="100" workbookViewId="0">
      <selection activeCell="E3" sqref="E3"/>
    </sheetView>
  </sheetViews>
  <sheetFormatPr defaultColWidth="8.54296875" defaultRowHeight="13" x14ac:dyDescent="0.3"/>
  <cols>
    <col min="1" max="1" width="7.26953125" style="119" bestFit="1" customWidth="1"/>
    <col min="2" max="2" width="15.1796875" style="119" bestFit="1" customWidth="1"/>
    <col min="3" max="3" width="11.26953125" style="119" bestFit="1" customWidth="1"/>
    <col min="4" max="4" width="11" style="119" bestFit="1" customWidth="1"/>
    <col min="5" max="5" width="11.7265625" style="119" bestFit="1" customWidth="1"/>
    <col min="6" max="7" width="10" style="119" bestFit="1" customWidth="1"/>
    <col min="8" max="8" width="16.26953125" style="119" bestFit="1" customWidth="1"/>
    <col min="9" max="10" width="12.26953125" style="119" bestFit="1" customWidth="1"/>
    <col min="11" max="11" width="13.7265625" style="119" bestFit="1" customWidth="1"/>
    <col min="12" max="12" width="18.54296875" style="119" bestFit="1" customWidth="1"/>
    <col min="13" max="19" width="8.54296875" style="119" customWidth="1"/>
    <col min="20" max="16384" width="8.54296875" style="119"/>
  </cols>
  <sheetData>
    <row r="1" spans="1:12" ht="14.65" customHeight="1" x14ac:dyDescent="0.35">
      <c r="A1" s="314" t="s">
        <v>7</v>
      </c>
      <c r="B1" s="310"/>
      <c r="C1" s="310"/>
      <c r="D1" s="310"/>
      <c r="E1" s="310"/>
      <c r="F1" s="310"/>
      <c r="G1" s="310"/>
      <c r="H1" s="310"/>
      <c r="I1" s="310"/>
      <c r="J1" s="310"/>
      <c r="K1" s="310"/>
      <c r="L1" s="311"/>
    </row>
    <row r="2" spans="1:12" x14ac:dyDescent="0.3">
      <c r="A2" s="36" t="s">
        <v>10</v>
      </c>
      <c r="B2" s="36" t="s">
        <v>11</v>
      </c>
      <c r="C2" s="36" t="s">
        <v>12</v>
      </c>
      <c r="D2" s="36" t="s">
        <v>13</v>
      </c>
      <c r="E2" s="36" t="s">
        <v>14</v>
      </c>
      <c r="F2" s="36" t="s">
        <v>15</v>
      </c>
      <c r="G2" s="36" t="s">
        <v>16</v>
      </c>
      <c r="H2" s="36" t="s">
        <v>17</v>
      </c>
      <c r="I2" s="36" t="s">
        <v>18</v>
      </c>
      <c r="J2" s="36" t="s">
        <v>19</v>
      </c>
      <c r="K2" s="36" t="s">
        <v>20</v>
      </c>
      <c r="L2" s="59" t="s">
        <v>314</v>
      </c>
    </row>
    <row r="3" spans="1:12" x14ac:dyDescent="0.3">
      <c r="A3" s="240" t="s">
        <v>315</v>
      </c>
      <c r="B3" s="240" t="s">
        <v>27</v>
      </c>
      <c r="C3" s="240">
        <v>0</v>
      </c>
      <c r="D3" s="240" t="s">
        <v>316</v>
      </c>
      <c r="E3" s="240" t="s">
        <v>316</v>
      </c>
      <c r="F3" s="240"/>
      <c r="G3" s="193" t="s">
        <v>29</v>
      </c>
      <c r="H3" s="240" t="s">
        <v>317</v>
      </c>
      <c r="I3" s="240" t="s">
        <v>318</v>
      </c>
      <c r="J3" s="240">
        <v>222</v>
      </c>
      <c r="K3" s="10">
        <v>36892</v>
      </c>
      <c r="L3" s="99" t="s">
        <v>319</v>
      </c>
    </row>
    <row r="4" spans="1:12" x14ac:dyDescent="0.3">
      <c r="A4" s="12"/>
      <c r="B4" s="12"/>
      <c r="C4" s="12"/>
      <c r="D4" s="12"/>
      <c r="E4" s="12"/>
      <c r="F4" s="12"/>
      <c r="G4" s="12"/>
      <c r="H4" s="12"/>
      <c r="I4" s="12"/>
      <c r="J4" s="98"/>
      <c r="K4" s="98"/>
      <c r="L4" s="97"/>
    </row>
    <row r="5" spans="1:12" ht="14.65" customHeight="1" x14ac:dyDescent="0.35">
      <c r="A5" s="305" t="s">
        <v>36</v>
      </c>
      <c r="B5" s="306"/>
      <c r="C5" s="306"/>
      <c r="D5" s="306"/>
      <c r="E5" s="306"/>
      <c r="F5" s="306"/>
      <c r="G5" s="306"/>
      <c r="H5" s="307"/>
      <c r="I5" s="12"/>
      <c r="J5" s="12"/>
      <c r="K5" s="12"/>
      <c r="L5" s="20"/>
    </row>
    <row r="6" spans="1:12" x14ac:dyDescent="0.3">
      <c r="A6" s="1" t="s">
        <v>13</v>
      </c>
      <c r="B6" s="1" t="s">
        <v>14</v>
      </c>
      <c r="C6" s="1" t="s">
        <v>15</v>
      </c>
      <c r="D6" s="1" t="s">
        <v>16</v>
      </c>
      <c r="E6" s="1" t="s">
        <v>320</v>
      </c>
      <c r="F6" s="1" t="s">
        <v>321</v>
      </c>
      <c r="G6" s="1" t="s">
        <v>322</v>
      </c>
      <c r="H6" s="1" t="s">
        <v>323</v>
      </c>
      <c r="I6" s="100" t="s">
        <v>324</v>
      </c>
      <c r="J6" s="12"/>
      <c r="K6" s="12"/>
      <c r="L6" s="20"/>
    </row>
    <row r="7" spans="1:12" x14ac:dyDescent="0.3">
      <c r="A7" s="240">
        <v>0</v>
      </c>
      <c r="B7" s="240" t="s">
        <v>325</v>
      </c>
      <c r="C7" s="240"/>
      <c r="D7" s="188" t="s">
        <v>29</v>
      </c>
      <c r="E7" s="240">
        <v>0</v>
      </c>
      <c r="F7" s="193" t="s">
        <v>25</v>
      </c>
      <c r="G7" s="188" t="s">
        <v>326</v>
      </c>
      <c r="H7" s="240"/>
      <c r="I7" s="52" t="s">
        <v>327</v>
      </c>
      <c r="J7" s="12"/>
      <c r="K7" s="12"/>
      <c r="L7" s="20"/>
    </row>
    <row r="8" spans="1:12" x14ac:dyDescent="0.3">
      <c r="A8" s="240">
        <v>1</v>
      </c>
      <c r="B8" s="240" t="s">
        <v>328</v>
      </c>
      <c r="C8" s="240"/>
      <c r="D8" s="188" t="s">
        <v>29</v>
      </c>
      <c r="E8" s="240">
        <v>1</v>
      </c>
      <c r="F8" s="2" t="s">
        <v>25</v>
      </c>
      <c r="G8" s="188" t="s">
        <v>326</v>
      </c>
      <c r="H8" s="240"/>
      <c r="I8" s="52" t="s">
        <v>329</v>
      </c>
      <c r="J8" s="12"/>
      <c r="K8" s="12"/>
      <c r="L8" s="20"/>
    </row>
    <row r="9" spans="1:12" x14ac:dyDescent="0.3">
      <c r="A9" s="240">
        <v>2</v>
      </c>
      <c r="B9" s="240" t="s">
        <v>330</v>
      </c>
      <c r="C9" s="240"/>
      <c r="D9" s="188" t="s">
        <v>29</v>
      </c>
      <c r="E9" s="240">
        <v>2</v>
      </c>
      <c r="F9" s="2" t="s">
        <v>25</v>
      </c>
      <c r="G9" s="188" t="s">
        <v>326</v>
      </c>
      <c r="H9" s="240"/>
      <c r="I9" s="52" t="s">
        <v>331</v>
      </c>
      <c r="J9" s="12"/>
      <c r="K9" s="12"/>
      <c r="L9" s="20"/>
    </row>
    <row r="10" spans="1:12" x14ac:dyDescent="0.3">
      <c r="A10" s="240">
        <v>3</v>
      </c>
      <c r="B10" s="240" t="s">
        <v>332</v>
      </c>
      <c r="C10" s="240"/>
      <c r="D10" s="2" t="s">
        <v>25</v>
      </c>
      <c r="E10" s="240">
        <v>3</v>
      </c>
      <c r="F10" s="2" t="s">
        <v>25</v>
      </c>
      <c r="G10" s="2" t="s">
        <v>25</v>
      </c>
      <c r="H10" s="240"/>
      <c r="I10" s="52"/>
      <c r="J10" s="12"/>
      <c r="K10" s="12"/>
      <c r="L10" s="20"/>
    </row>
    <row r="11" spans="1:12" x14ac:dyDescent="0.3">
      <c r="A11" s="240">
        <v>4</v>
      </c>
      <c r="B11" s="240" t="s">
        <v>333</v>
      </c>
      <c r="C11" s="240"/>
      <c r="D11" s="2" t="s">
        <v>25</v>
      </c>
      <c r="E11" s="240">
        <v>4</v>
      </c>
      <c r="F11" s="2" t="s">
        <v>25</v>
      </c>
      <c r="G11" s="2" t="s">
        <v>25</v>
      </c>
      <c r="H11" s="240"/>
      <c r="I11" s="100"/>
      <c r="J11" s="12"/>
      <c r="K11" s="12"/>
      <c r="L11" s="20"/>
    </row>
    <row r="12" spans="1:12" x14ac:dyDescent="0.3">
      <c r="A12" s="240">
        <v>5</v>
      </c>
      <c r="B12" s="240" t="s">
        <v>334</v>
      </c>
      <c r="C12" s="240"/>
      <c r="D12" s="2" t="s">
        <v>25</v>
      </c>
      <c r="E12" s="240">
        <v>5</v>
      </c>
      <c r="F12" s="2" t="s">
        <v>25</v>
      </c>
      <c r="G12" s="2" t="s">
        <v>25</v>
      </c>
      <c r="H12" s="240"/>
      <c r="I12" s="100"/>
      <c r="J12" s="12"/>
      <c r="K12" s="12"/>
      <c r="L12" s="20"/>
    </row>
    <row r="13" spans="1:12" x14ac:dyDescent="0.3">
      <c r="A13" s="240">
        <v>6</v>
      </c>
      <c r="B13" s="240" t="s">
        <v>335</v>
      </c>
      <c r="C13" s="240"/>
      <c r="D13" s="2" t="s">
        <v>25</v>
      </c>
      <c r="E13" s="240">
        <v>6</v>
      </c>
      <c r="F13" s="2" t="s">
        <v>25</v>
      </c>
      <c r="G13" s="2" t="s">
        <v>25</v>
      </c>
      <c r="H13" s="240"/>
      <c r="I13" s="100"/>
      <c r="J13" s="12"/>
      <c r="K13" s="12"/>
      <c r="L13" s="20"/>
    </row>
    <row r="14" spans="1:12" x14ac:dyDescent="0.3">
      <c r="A14" s="240">
        <v>7</v>
      </c>
      <c r="B14" s="240" t="s">
        <v>336</v>
      </c>
      <c r="C14" s="240"/>
      <c r="D14" s="2" t="s">
        <v>25</v>
      </c>
      <c r="E14" s="240">
        <v>7</v>
      </c>
      <c r="F14" s="2" t="s">
        <v>25</v>
      </c>
      <c r="G14" s="2" t="s">
        <v>25</v>
      </c>
      <c r="H14" s="240"/>
      <c r="I14" s="52"/>
      <c r="J14" s="12"/>
      <c r="K14" s="12"/>
      <c r="L14" s="20"/>
    </row>
    <row r="15" spans="1:12" x14ac:dyDescent="0.3">
      <c r="A15" s="240">
        <v>8</v>
      </c>
      <c r="B15" s="240" t="s">
        <v>337</v>
      </c>
      <c r="C15" s="240"/>
      <c r="D15" s="2" t="s">
        <v>25</v>
      </c>
      <c r="E15" s="240">
        <v>8</v>
      </c>
      <c r="F15" s="2" t="s">
        <v>25</v>
      </c>
      <c r="G15" s="2" t="s">
        <v>25</v>
      </c>
      <c r="H15" s="240"/>
      <c r="I15" s="52"/>
      <c r="J15" s="12"/>
      <c r="K15" s="12"/>
      <c r="L15" s="20"/>
    </row>
    <row r="16" spans="1:12" x14ac:dyDescent="0.3">
      <c r="A16" s="240">
        <v>9</v>
      </c>
      <c r="B16" s="240" t="s">
        <v>338</v>
      </c>
      <c r="C16" s="240"/>
      <c r="D16" s="2" t="s">
        <v>25</v>
      </c>
      <c r="E16" s="240">
        <v>9</v>
      </c>
      <c r="F16" s="2" t="s">
        <v>25</v>
      </c>
      <c r="G16" s="2" t="s">
        <v>25</v>
      </c>
      <c r="H16" s="240"/>
      <c r="I16" s="52"/>
      <c r="J16" s="12"/>
      <c r="K16" s="12"/>
      <c r="L16" s="20"/>
    </row>
    <row r="17" spans="1:12" ht="13.4" customHeight="1" thickBot="1" x14ac:dyDescent="0.35">
      <c r="A17" s="5"/>
      <c r="B17" s="5"/>
      <c r="C17" s="5"/>
      <c r="D17" s="5"/>
      <c r="E17" s="5"/>
      <c r="F17" s="5"/>
      <c r="G17" s="5"/>
      <c r="H17" s="5"/>
      <c r="I17" s="5"/>
      <c r="J17" s="5"/>
      <c r="K17" s="5"/>
      <c r="L17" s="13"/>
    </row>
    <row r="18" spans="1:12" ht="13.4" customHeight="1" thickTop="1" x14ac:dyDescent="0.3">
      <c r="A18" s="21"/>
      <c r="B18" s="21"/>
      <c r="C18" s="21"/>
      <c r="D18" s="21"/>
      <c r="E18" s="21"/>
      <c r="F18" s="21"/>
      <c r="G18" s="21"/>
      <c r="H18" s="21"/>
      <c r="I18" s="21"/>
      <c r="J18" s="21"/>
      <c r="K18" s="21"/>
      <c r="L18" s="21"/>
    </row>
    <row r="19" spans="1:12" ht="14.65" customHeight="1" x14ac:dyDescent="0.35">
      <c r="A19" s="309" t="s">
        <v>7</v>
      </c>
      <c r="B19" s="310"/>
      <c r="C19" s="310"/>
      <c r="D19" s="310"/>
      <c r="E19" s="310"/>
      <c r="F19" s="310"/>
      <c r="G19" s="310"/>
      <c r="H19" s="310"/>
      <c r="I19" s="310"/>
      <c r="J19" s="310"/>
      <c r="K19" s="310"/>
      <c r="L19" s="311"/>
    </row>
    <row r="20" spans="1:12" x14ac:dyDescent="0.3">
      <c r="A20" s="95" t="s">
        <v>10</v>
      </c>
      <c r="B20" s="95" t="s">
        <v>11</v>
      </c>
      <c r="C20" s="95" t="s">
        <v>12</v>
      </c>
      <c r="D20" s="95" t="s">
        <v>13</v>
      </c>
      <c r="E20" s="95" t="s">
        <v>14</v>
      </c>
      <c r="F20" s="95" t="s">
        <v>15</v>
      </c>
      <c r="G20" s="95" t="s">
        <v>16</v>
      </c>
      <c r="H20" s="95" t="s">
        <v>17</v>
      </c>
      <c r="I20" s="95" t="s">
        <v>18</v>
      </c>
      <c r="J20" s="95" t="s">
        <v>19</v>
      </c>
      <c r="K20" s="94" t="s">
        <v>20</v>
      </c>
      <c r="L20" s="233" t="s">
        <v>314</v>
      </c>
    </row>
    <row r="21" spans="1:12" x14ac:dyDescent="0.3">
      <c r="A21" s="241" t="s">
        <v>315</v>
      </c>
      <c r="B21" s="241" t="s">
        <v>27</v>
      </c>
      <c r="C21" s="241">
        <v>0</v>
      </c>
      <c r="D21" s="241" t="s">
        <v>339</v>
      </c>
      <c r="E21" s="241" t="s">
        <v>339</v>
      </c>
      <c r="F21" s="241" t="s">
        <v>340</v>
      </c>
      <c r="G21" s="241" t="s">
        <v>25</v>
      </c>
      <c r="H21" s="241" t="s">
        <v>341</v>
      </c>
      <c r="I21" s="241" t="s">
        <v>342</v>
      </c>
      <c r="J21" s="241">
        <v>222</v>
      </c>
      <c r="K21" s="93">
        <v>36892</v>
      </c>
      <c r="L21" s="92" t="s">
        <v>343</v>
      </c>
    </row>
    <row r="22" spans="1:12" x14ac:dyDescent="0.3">
      <c r="A22" s="121"/>
      <c r="B22" s="121"/>
      <c r="C22" s="121"/>
      <c r="D22" s="121"/>
      <c r="E22" s="121"/>
      <c r="F22" s="121"/>
      <c r="G22" s="121"/>
      <c r="H22" s="121"/>
      <c r="I22" s="121"/>
      <c r="J22" s="91"/>
      <c r="K22" s="91"/>
      <c r="L22" s="90"/>
    </row>
    <row r="23" spans="1:12" ht="14.65" customHeight="1" x14ac:dyDescent="0.35">
      <c r="A23" s="315" t="s">
        <v>36</v>
      </c>
      <c r="B23" s="310"/>
      <c r="C23" s="310"/>
      <c r="D23" s="310"/>
      <c r="E23" s="310"/>
      <c r="F23" s="310"/>
      <c r="G23" s="310"/>
      <c r="H23" s="89"/>
      <c r="I23" s="121"/>
      <c r="J23" s="121"/>
      <c r="K23" s="121"/>
      <c r="L23" s="23"/>
    </row>
    <row r="24" spans="1:12" x14ac:dyDescent="0.3">
      <c r="A24" s="8" t="s">
        <v>13</v>
      </c>
      <c r="B24" s="8" t="s">
        <v>14</v>
      </c>
      <c r="C24" s="8" t="s">
        <v>15</v>
      </c>
      <c r="D24" s="8" t="s">
        <v>16</v>
      </c>
      <c r="E24" s="8" t="s">
        <v>320</v>
      </c>
      <c r="F24" s="8" t="s">
        <v>321</v>
      </c>
      <c r="G24" s="8" t="s">
        <v>322</v>
      </c>
      <c r="H24" s="8" t="s">
        <v>323</v>
      </c>
      <c r="I24" s="48"/>
      <c r="J24" s="121"/>
      <c r="K24" s="121"/>
      <c r="L24" s="23"/>
    </row>
    <row r="25" spans="1:12" x14ac:dyDescent="0.3">
      <c r="A25" s="241">
        <v>0</v>
      </c>
      <c r="B25" s="241" t="s">
        <v>325</v>
      </c>
      <c r="C25" s="241" t="s">
        <v>339</v>
      </c>
      <c r="D25" s="6" t="s">
        <v>25</v>
      </c>
      <c r="E25" s="241">
        <v>0</v>
      </c>
      <c r="F25" s="6" t="s">
        <v>25</v>
      </c>
      <c r="G25" s="6" t="s">
        <v>344</v>
      </c>
      <c r="H25" s="241"/>
      <c r="I25" s="87"/>
      <c r="J25" s="121"/>
      <c r="K25" s="121"/>
      <c r="L25" s="23"/>
    </row>
    <row r="26" spans="1:12" x14ac:dyDescent="0.3">
      <c r="A26" s="241">
        <v>1</v>
      </c>
      <c r="B26" s="241"/>
      <c r="C26" s="241"/>
      <c r="D26" s="6" t="s">
        <v>25</v>
      </c>
      <c r="E26" s="6">
        <v>0</v>
      </c>
      <c r="F26" s="6" t="s">
        <v>25</v>
      </c>
      <c r="G26" s="6" t="s">
        <v>25</v>
      </c>
      <c r="H26" s="241"/>
      <c r="I26" s="87"/>
      <c r="J26" s="121"/>
      <c r="K26" s="121"/>
      <c r="L26" s="23"/>
    </row>
    <row r="27" spans="1:12" x14ac:dyDescent="0.3">
      <c r="A27" s="241">
        <v>2</v>
      </c>
      <c r="B27" s="241"/>
      <c r="C27" s="241"/>
      <c r="D27" s="6" t="s">
        <v>25</v>
      </c>
      <c r="E27" s="241">
        <v>0</v>
      </c>
      <c r="F27" s="241" t="s">
        <v>25</v>
      </c>
      <c r="G27" s="241" t="s">
        <v>25</v>
      </c>
      <c r="H27" s="241"/>
      <c r="I27" s="87"/>
      <c r="J27" s="121"/>
      <c r="K27" s="121"/>
      <c r="L27" s="23"/>
    </row>
    <row r="28" spans="1:12" x14ac:dyDescent="0.3">
      <c r="A28" s="241">
        <v>3</v>
      </c>
      <c r="B28" s="241"/>
      <c r="C28" s="241"/>
      <c r="D28" s="6" t="s">
        <v>25</v>
      </c>
      <c r="E28" s="6">
        <v>0</v>
      </c>
      <c r="F28" s="6" t="s">
        <v>25</v>
      </c>
      <c r="G28" s="6" t="s">
        <v>25</v>
      </c>
      <c r="H28" s="241"/>
      <c r="I28" s="87"/>
      <c r="J28" s="121"/>
      <c r="K28" s="121"/>
      <c r="L28" s="23"/>
    </row>
    <row r="29" spans="1:12" x14ac:dyDescent="0.3">
      <c r="A29" s="241">
        <v>4</v>
      </c>
      <c r="B29" s="241"/>
      <c r="C29" s="241"/>
      <c r="D29" s="6" t="s">
        <v>25</v>
      </c>
      <c r="E29" s="241">
        <v>0</v>
      </c>
      <c r="F29" s="241" t="s">
        <v>25</v>
      </c>
      <c r="G29" s="241" t="s">
        <v>25</v>
      </c>
      <c r="H29" s="241"/>
      <c r="I29" s="87"/>
      <c r="J29" s="121"/>
      <c r="K29" s="121"/>
      <c r="L29" s="23"/>
    </row>
    <row r="30" spans="1:12" x14ac:dyDescent="0.3">
      <c r="A30" s="241">
        <v>5</v>
      </c>
      <c r="B30" s="241"/>
      <c r="C30" s="241"/>
      <c r="D30" s="6" t="s">
        <v>25</v>
      </c>
      <c r="E30" s="6">
        <v>0</v>
      </c>
      <c r="F30" s="6" t="s">
        <v>25</v>
      </c>
      <c r="G30" s="6" t="s">
        <v>25</v>
      </c>
      <c r="H30" s="241"/>
      <c r="I30" s="87"/>
      <c r="J30" s="121"/>
      <c r="K30" s="121"/>
      <c r="L30" s="23"/>
    </row>
    <row r="31" spans="1:12" x14ac:dyDescent="0.3">
      <c r="A31" s="241">
        <v>6</v>
      </c>
      <c r="B31" s="241"/>
      <c r="C31" s="241"/>
      <c r="D31" s="6" t="s">
        <v>25</v>
      </c>
      <c r="E31" s="241">
        <v>0</v>
      </c>
      <c r="F31" s="241" t="s">
        <v>25</v>
      </c>
      <c r="G31" s="241" t="s">
        <v>25</v>
      </c>
      <c r="H31" s="241"/>
      <c r="I31" s="87"/>
      <c r="J31" s="121"/>
      <c r="K31" s="121"/>
      <c r="L31" s="23"/>
    </row>
    <row r="32" spans="1:12" x14ac:dyDescent="0.3">
      <c r="A32" s="241">
        <v>7</v>
      </c>
      <c r="B32" s="241"/>
      <c r="C32" s="152"/>
      <c r="D32" s="6" t="s">
        <v>25</v>
      </c>
      <c r="E32" s="6">
        <v>0</v>
      </c>
      <c r="F32" s="6" t="s">
        <v>25</v>
      </c>
      <c r="G32" s="6" t="s">
        <v>25</v>
      </c>
      <c r="H32" s="241"/>
      <c r="I32" s="87"/>
      <c r="J32" s="121"/>
      <c r="K32" s="121"/>
      <c r="L32" s="23"/>
    </row>
    <row r="33" spans="1:12" ht="13.4" customHeight="1" thickBot="1" x14ac:dyDescent="0.35">
      <c r="A33" s="9"/>
      <c r="B33" s="9"/>
      <c r="C33" s="9"/>
      <c r="D33" s="9"/>
      <c r="E33" s="9"/>
      <c r="F33" s="9"/>
      <c r="G33" s="9"/>
      <c r="H33" s="9"/>
      <c r="I33" s="9"/>
      <c r="J33" s="9"/>
      <c r="K33" s="9"/>
      <c r="L33" s="24"/>
    </row>
    <row r="34" spans="1:12" ht="15" customHeight="1" thickTop="1" x14ac:dyDescent="0.3"/>
  </sheetData>
  <mergeCells count="4">
    <mergeCell ref="A1:L1"/>
    <mergeCell ref="A5:H5"/>
    <mergeCell ref="A19:L19"/>
    <mergeCell ref="A23:G23"/>
  </mergeCells>
  <dataValidations count="9">
    <dataValidation allowBlank="1" showInputMessage="1" showErrorMessage="1" promptTitle="Engine IP Address" prompt="IP address of the machine that the Engine is running on" sqref="C21 B3" xr:uid="{00000000-0002-0000-0300-000000000000}"/>
    <dataValidation allowBlank="1" showInputMessage="1" showErrorMessage="1" promptTitle="Engine Port Setting" prompt="This is the remote port that you are trying to connect to" sqref="C3 D21" xr:uid="{00000000-0002-0000-0300-000001000000}"/>
    <dataValidation type="list" allowBlank="1" showInputMessage="1" showErrorMessage="1" sqref="G25:G32 G7:G16" xr:uid="{00000000-0002-0000-0300-000002000000}">
      <formula1>"'---,Closed,Open"</formula1>
    </dataValidation>
    <dataValidation type="list" allowBlank="1" showInputMessage="1" showErrorMessage="1" sqref="I25:I32 I14:I16" xr:uid="{00000000-0002-0000-0300-000003000000}">
      <formula1>"Rising,Falling,Both"</formula1>
    </dataValidation>
    <dataValidation type="list" showInputMessage="1" showErrorMessage="1" sqref="H28:H32" xr:uid="{00000000-0002-0000-0300-000004000000}">
      <formula1>"On Demand,Sample Clock,Handshaking,Implicit,Use Waveform,Change Detection,Pipelined Sample Clock"</formula1>
    </dataValidation>
    <dataValidation type="date" operator="greaterThan" allowBlank="1" showInputMessage="1" showErrorMessage="1" sqref="K3 K21" xr:uid="{00000000-0002-0000-0300-000005000000}">
      <formula1>36526</formula1>
    </dataValidation>
    <dataValidation type="list" allowBlank="1" showInputMessage="1" showErrorMessage="1" sqref="G3 G21 D25:D32 F25:F32 F7:F16 D7:D16" xr:uid="{00000000-0002-0000-0300-000006000000}">
      <formula1>"Yes,'---"</formula1>
    </dataValidation>
    <dataValidation showInputMessage="1" showErrorMessage="1" sqref="E25:E32 H7:H16 E7:E16 H25:H27 I9:I10" xr:uid="{00000000-0002-0000-0300-000007000000}"/>
    <dataValidation operator="greaterThan" allowBlank="1" showInputMessage="1" showErrorMessage="1" sqref="L3 L21" xr:uid="{00000000-0002-0000-0300-000008000000}"/>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N10"/>
  <sheetViews>
    <sheetView zoomScaleNormal="100" workbookViewId="0">
      <selection activeCell="I6" sqref="I6"/>
    </sheetView>
  </sheetViews>
  <sheetFormatPr defaultColWidth="8.7265625" defaultRowHeight="13" x14ac:dyDescent="0.3"/>
  <cols>
    <col min="1" max="1" width="7.26953125" style="119" bestFit="1" customWidth="1"/>
    <col min="2" max="2" width="14.81640625" style="119" bestFit="1" customWidth="1"/>
    <col min="3" max="3" width="10" style="119" bestFit="1" customWidth="1"/>
    <col min="4" max="4" width="12.26953125" style="119" bestFit="1" customWidth="1"/>
    <col min="5" max="5" width="13.54296875" style="119" bestFit="1" customWidth="1"/>
    <col min="6" max="6" width="9.81640625" style="119" bestFit="1" customWidth="1"/>
    <col min="7" max="7" width="10.7265625" style="119" bestFit="1" customWidth="1"/>
    <col min="8" max="8" width="6" style="126" bestFit="1" customWidth="1"/>
    <col min="9" max="10" width="12.26953125" style="119" bestFit="1" customWidth="1"/>
    <col min="11" max="11" width="13.7265625" style="119" bestFit="1" customWidth="1"/>
    <col min="12" max="12" width="10.7265625" style="119" bestFit="1" customWidth="1"/>
    <col min="13" max="13" width="12.1796875" style="119" bestFit="1" customWidth="1"/>
    <col min="14" max="14" width="18.7265625" style="119" bestFit="1" customWidth="1"/>
    <col min="15" max="21" width="8.7265625" style="119" customWidth="1"/>
    <col min="22" max="16384" width="8.7265625" style="119"/>
  </cols>
  <sheetData>
    <row r="1" spans="1:14" ht="14.65" customHeight="1" x14ac:dyDescent="0.35">
      <c r="A1" s="305" t="s">
        <v>7</v>
      </c>
      <c r="B1" s="306"/>
      <c r="C1" s="306"/>
      <c r="D1" s="306"/>
      <c r="E1" s="306"/>
      <c r="F1" s="306"/>
      <c r="G1" s="306"/>
      <c r="H1" s="306"/>
      <c r="I1" s="306"/>
      <c r="J1" s="306"/>
      <c r="K1" s="306"/>
      <c r="L1" s="306"/>
      <c r="M1" s="306"/>
      <c r="N1" s="307"/>
    </row>
    <row r="2" spans="1:14" x14ac:dyDescent="0.3">
      <c r="A2" s="59" t="s">
        <v>10</v>
      </c>
      <c r="B2" s="59" t="s">
        <v>11</v>
      </c>
      <c r="C2" s="59" t="s">
        <v>12</v>
      </c>
      <c r="D2" s="59" t="s">
        <v>13</v>
      </c>
      <c r="E2" s="59" t="s">
        <v>14</v>
      </c>
      <c r="F2" s="59" t="s">
        <v>15</v>
      </c>
      <c r="G2" s="59" t="s">
        <v>16</v>
      </c>
      <c r="H2" s="59" t="s">
        <v>17</v>
      </c>
      <c r="I2" s="59" t="s">
        <v>18</v>
      </c>
      <c r="J2" s="59" t="s">
        <v>19</v>
      </c>
      <c r="K2" s="59" t="s">
        <v>20</v>
      </c>
      <c r="L2" s="59" t="s">
        <v>345</v>
      </c>
      <c r="M2" s="59" t="s">
        <v>346</v>
      </c>
      <c r="N2" s="59" t="s">
        <v>347</v>
      </c>
    </row>
    <row r="3" spans="1:14" x14ac:dyDescent="0.3">
      <c r="A3" s="245" t="s">
        <v>348</v>
      </c>
      <c r="B3" s="240" t="s">
        <v>27</v>
      </c>
      <c r="C3" s="240">
        <v>0</v>
      </c>
      <c r="D3" s="245" t="s">
        <v>349</v>
      </c>
      <c r="E3" s="245" t="s">
        <v>350</v>
      </c>
      <c r="F3" s="245"/>
      <c r="G3" s="174" t="s">
        <v>29</v>
      </c>
      <c r="H3" s="245"/>
      <c r="I3" s="245">
        <v>999</v>
      </c>
      <c r="J3" s="245"/>
      <c r="K3" s="60">
        <v>36892</v>
      </c>
      <c r="L3" s="245" t="s">
        <v>351</v>
      </c>
      <c r="M3" s="245" t="s">
        <v>351</v>
      </c>
      <c r="N3" s="199" t="s">
        <v>352</v>
      </c>
    </row>
    <row r="4" spans="1:14" x14ac:dyDescent="0.3">
      <c r="A4" s="12"/>
      <c r="B4" s="12"/>
      <c r="C4" s="12"/>
      <c r="D4" s="12"/>
      <c r="E4" s="12"/>
      <c r="F4" s="12"/>
      <c r="G4" s="12"/>
      <c r="H4" s="52"/>
      <c r="I4" s="12"/>
      <c r="J4" s="12"/>
      <c r="K4" s="12"/>
      <c r="L4" s="12"/>
      <c r="M4" s="12"/>
      <c r="N4" s="20"/>
    </row>
    <row r="5" spans="1:14" ht="14.65" customHeight="1" x14ac:dyDescent="0.35">
      <c r="A5" s="314" t="s">
        <v>36</v>
      </c>
      <c r="B5" s="310"/>
      <c r="C5" s="310"/>
      <c r="D5" s="310"/>
      <c r="E5" s="310"/>
      <c r="F5" s="310"/>
      <c r="G5" s="311"/>
      <c r="H5" s="12"/>
      <c r="I5" s="12"/>
      <c r="J5" s="12"/>
      <c r="K5" s="12"/>
      <c r="L5" s="12"/>
      <c r="M5" s="12"/>
      <c r="N5" s="20"/>
    </row>
    <row r="6" spans="1:14" x14ac:dyDescent="0.3">
      <c r="A6" s="1" t="s">
        <v>13</v>
      </c>
      <c r="B6" s="1" t="s">
        <v>14</v>
      </c>
      <c r="C6" s="1" t="s">
        <v>15</v>
      </c>
      <c r="D6" s="1" t="s">
        <v>16</v>
      </c>
      <c r="E6" s="1" t="s">
        <v>353</v>
      </c>
      <c r="F6" s="1" t="s">
        <v>354</v>
      </c>
      <c r="G6" s="1" t="s">
        <v>355</v>
      </c>
      <c r="H6" s="12"/>
      <c r="I6" s="12"/>
      <c r="J6" s="12"/>
      <c r="K6" s="12"/>
      <c r="L6" s="12"/>
      <c r="M6" s="12"/>
      <c r="N6" s="20"/>
    </row>
    <row r="7" spans="1:14" x14ac:dyDescent="0.3">
      <c r="A7" s="240">
        <v>1</v>
      </c>
      <c r="B7" s="240" t="s">
        <v>356</v>
      </c>
      <c r="C7" s="240"/>
      <c r="D7" s="2" t="s">
        <v>29</v>
      </c>
      <c r="E7" s="240" t="s">
        <v>357</v>
      </c>
      <c r="F7" s="240">
        <v>1</v>
      </c>
      <c r="G7" s="2" t="s">
        <v>25</v>
      </c>
      <c r="H7" s="12"/>
      <c r="I7" s="12"/>
      <c r="J7" s="12"/>
      <c r="K7" s="12"/>
      <c r="L7" s="12"/>
      <c r="M7" s="12"/>
      <c r="N7" s="20"/>
    </row>
    <row r="8" spans="1:14" x14ac:dyDescent="0.3">
      <c r="A8" s="240">
        <v>2</v>
      </c>
      <c r="B8" s="240" t="s">
        <v>358</v>
      </c>
      <c r="C8" s="240"/>
      <c r="D8" s="2" t="s">
        <v>29</v>
      </c>
      <c r="E8" s="2" t="s">
        <v>357</v>
      </c>
      <c r="F8" s="240">
        <v>2</v>
      </c>
      <c r="G8" s="2" t="s">
        <v>25</v>
      </c>
      <c r="H8" s="12"/>
      <c r="I8" s="12"/>
      <c r="J8" s="12"/>
      <c r="K8" s="12"/>
      <c r="L8" s="12"/>
      <c r="M8" s="12"/>
      <c r="N8" s="20"/>
    </row>
    <row r="9" spans="1:14" ht="13.4" customHeight="1" thickBot="1" x14ac:dyDescent="0.35">
      <c r="A9" s="3"/>
      <c r="B9" s="3"/>
      <c r="C9" s="3"/>
      <c r="D9" s="3"/>
      <c r="E9" s="3"/>
      <c r="F9" s="4"/>
      <c r="G9" s="4"/>
      <c r="H9" s="3"/>
      <c r="I9" s="5"/>
      <c r="J9" s="5"/>
      <c r="K9" s="5"/>
      <c r="L9" s="5"/>
      <c r="M9" s="5"/>
      <c r="N9" s="13"/>
    </row>
    <row r="10" spans="1:14" ht="13.4" customHeight="1" thickTop="1" x14ac:dyDescent="0.3"/>
  </sheetData>
  <mergeCells count="2">
    <mergeCell ref="A1:N1"/>
    <mergeCell ref="A5:G5"/>
  </mergeCells>
  <dataValidations count="8">
    <dataValidation type="list" allowBlank="1" showInputMessage="1" showErrorMessage="1" sqref="G3 D7:D8 F9" xr:uid="{00000000-0002-0000-0400-000000000000}">
      <formula1>"Yes,'---"</formula1>
    </dataValidation>
    <dataValidation type="date" operator="greaterThan" allowBlank="1" showInputMessage="1" showErrorMessage="1" sqref="K3" xr:uid="{00000000-0002-0000-0400-000001000000}">
      <formula1>36526</formula1>
    </dataValidation>
    <dataValidation type="list" showInputMessage="1" showErrorMessage="1" sqref="E7:E8 G9" xr:uid="{00000000-0002-0000-0400-000002000000}">
      <formula1>"1 Mbit,5 Mbit,10 Mbit"</formula1>
    </dataValidation>
    <dataValidation type="list" allowBlank="1" showInputMessage="1" showErrorMessage="1" sqref="L3:M3" xr:uid="{00000000-0002-0000-0400-000003000000}">
      <formula1>"Internal, External"</formula1>
    </dataValidation>
    <dataValidation type="list" allowBlank="1" showInputMessage="1" showErrorMessage="1" sqref="G7:G8" xr:uid="{00000000-0002-0000-0400-000004000000}">
      <formula1>"'---,Yes"</formula1>
    </dataValidation>
    <dataValidation type="list" allowBlank="1" showInputMessage="1" showErrorMessage="1" promptTitle="Default Value" prompt="The default timestamp resolution (LSB) is 10us which allows up to 11.9 hours of testing without rollover. The LSB resolution is programmable to values of 100ns, 200ns, 500ns, 1us, 2us, 5us, 10us, 20us, 50us, 100us, and 200us. " sqref="N3" xr:uid="{00000000-0002-0000-0400-000005000000}">
      <formula1>"50nS,100nS,200nS,500nS,1us,2us,5us,10us,20us,50us,100us,200us"</formula1>
    </dataValidation>
    <dataValidation type="list" allowBlank="1" showInputMessage="1" showErrorMessage="1" promptTitle="Engine IP Address" prompt="IP address of the machine that the Engine is running on" sqref="B3" xr:uid="{00000000-0002-0000-0400-000006000000}">
      <formula1>"localhost"</formula1>
    </dataValidation>
    <dataValidation allowBlank="1" showInputMessage="1" showErrorMessage="1" promptTitle="Engine Port Setting" prompt="This is the remote port that you are trying to connect to" sqref="C3" xr:uid="{00000000-0002-0000-0400-000007000000}"/>
  </dataValidations>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N6"/>
  <sheetViews>
    <sheetView zoomScaleNormal="100" workbookViewId="0">
      <selection activeCell="G3" sqref="G3"/>
    </sheetView>
  </sheetViews>
  <sheetFormatPr defaultColWidth="8.7265625" defaultRowHeight="13" x14ac:dyDescent="0.3"/>
  <cols>
    <col min="1" max="1" width="18.26953125" style="104" bestFit="1" customWidth="1"/>
    <col min="2" max="2" width="10.1796875" style="104" bestFit="1" customWidth="1"/>
    <col min="3" max="3" width="9.453125" style="104" bestFit="1" customWidth="1"/>
    <col min="4" max="4" width="7.81640625" style="104" bestFit="1" customWidth="1"/>
    <col min="5" max="5" width="9.26953125" style="200" bestFit="1" customWidth="1"/>
    <col min="6" max="6" width="10.453125" style="200" bestFit="1" customWidth="1"/>
    <col min="7" max="7" width="21.26953125" style="196" bestFit="1" customWidth="1"/>
    <col min="8" max="8" width="17.453125" style="119" bestFit="1" customWidth="1"/>
    <col min="9" max="9" width="10.1796875" style="104" bestFit="1" customWidth="1"/>
    <col min="10" max="10" width="9.453125" style="104" bestFit="1" customWidth="1"/>
    <col min="11" max="11" width="7.81640625" style="104" bestFit="1" customWidth="1"/>
    <col min="12" max="12" width="9.26953125" style="104" bestFit="1" customWidth="1"/>
    <col min="13" max="13" width="6.81640625" style="104" bestFit="1" customWidth="1"/>
    <col min="14" max="14" width="21.26953125" style="196" bestFit="1" customWidth="1"/>
    <col min="15" max="21" width="8.7265625" style="119" customWidth="1"/>
    <col min="22" max="16384" width="8.7265625" style="119"/>
  </cols>
  <sheetData>
    <row r="1" spans="1:14" ht="14.65" customHeight="1" x14ac:dyDescent="0.35">
      <c r="B1" s="305" t="s">
        <v>359</v>
      </c>
      <c r="C1" s="306"/>
      <c r="D1" s="306"/>
      <c r="E1" s="306"/>
      <c r="F1" s="306"/>
      <c r="G1" s="307"/>
      <c r="I1" s="305" t="s">
        <v>360</v>
      </c>
      <c r="J1" s="306"/>
      <c r="K1" s="306"/>
      <c r="L1" s="306"/>
      <c r="M1" s="306"/>
      <c r="N1" s="307"/>
    </row>
    <row r="2" spans="1:14" ht="13.4" customHeight="1" thickBot="1" x14ac:dyDescent="0.35">
      <c r="A2" s="104" t="s">
        <v>361</v>
      </c>
      <c r="B2" s="47" t="s">
        <v>362</v>
      </c>
      <c r="C2" s="47" t="s">
        <v>363</v>
      </c>
      <c r="D2" s="47" t="s">
        <v>364</v>
      </c>
      <c r="E2" s="202" t="s">
        <v>365</v>
      </c>
      <c r="F2" s="201" t="s">
        <v>366</v>
      </c>
      <c r="G2" s="194" t="s">
        <v>367</v>
      </c>
      <c r="I2" s="123" t="s">
        <v>362</v>
      </c>
      <c r="J2" s="123" t="s">
        <v>363</v>
      </c>
      <c r="K2" s="123" t="s">
        <v>364</v>
      </c>
      <c r="L2" s="123" t="s">
        <v>365</v>
      </c>
      <c r="M2" s="195" t="s">
        <v>366</v>
      </c>
      <c r="N2" s="194" t="s">
        <v>367</v>
      </c>
    </row>
    <row r="3" spans="1:14" ht="13.4" customHeight="1" thickBot="1" x14ac:dyDescent="0.35">
      <c r="A3" s="197"/>
      <c r="B3" s="104">
        <v>1</v>
      </c>
      <c r="C3" s="104">
        <v>3</v>
      </c>
      <c r="D3" s="104">
        <v>5</v>
      </c>
      <c r="E3" s="203" t="s">
        <v>368</v>
      </c>
      <c r="F3" s="200" t="s">
        <v>369</v>
      </c>
      <c r="G3" s="196">
        <v>3</v>
      </c>
      <c r="N3" s="196">
        <v>3</v>
      </c>
    </row>
    <row r="4" spans="1:14" x14ac:dyDescent="0.3">
      <c r="A4" s="198"/>
      <c r="B4" s="104">
        <v>1.1000000000000001</v>
      </c>
      <c r="C4" s="104">
        <v>3</v>
      </c>
      <c r="D4" s="104">
        <v>5</v>
      </c>
      <c r="E4" s="200" t="s">
        <v>368</v>
      </c>
      <c r="F4" s="200" t="s">
        <v>370</v>
      </c>
      <c r="N4" s="196">
        <v>4</v>
      </c>
    </row>
    <row r="5" spans="1:14" x14ac:dyDescent="0.3">
      <c r="A5" s="197"/>
      <c r="B5" s="104">
        <v>1.2</v>
      </c>
      <c r="C5" s="104">
        <v>3</v>
      </c>
      <c r="D5" s="104">
        <v>5</v>
      </c>
      <c r="E5" s="200" t="s">
        <v>368</v>
      </c>
      <c r="F5" s="200" t="s">
        <v>371</v>
      </c>
      <c r="N5" s="196">
        <v>5</v>
      </c>
    </row>
    <row r="6" spans="1:14" x14ac:dyDescent="0.3">
      <c r="B6" s="104">
        <v>1.3</v>
      </c>
      <c r="C6" s="104">
        <v>3</v>
      </c>
      <c r="D6" s="104">
        <v>5</v>
      </c>
      <c r="E6" s="200" t="s">
        <v>368</v>
      </c>
      <c r="F6" s="200" t="s">
        <v>372</v>
      </c>
    </row>
  </sheetData>
  <mergeCells count="2">
    <mergeCell ref="B1:G1"/>
    <mergeCell ref="I1:N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dimension ref="A1:U26"/>
  <sheetViews>
    <sheetView zoomScaleNormal="100" workbookViewId="0">
      <selection activeCell="G17" sqref="G17"/>
    </sheetView>
  </sheetViews>
  <sheetFormatPr defaultColWidth="21.54296875" defaultRowHeight="13" x14ac:dyDescent="0.35"/>
  <cols>
    <col min="1" max="1" width="11.26953125" style="110" bestFit="1" customWidth="1"/>
    <col min="2" max="2" width="14.453125" style="110" bestFit="1" customWidth="1"/>
    <col min="3" max="3" width="16.7265625" style="110" bestFit="1" customWidth="1"/>
    <col min="4" max="4" width="11.26953125" style="110" bestFit="1" customWidth="1"/>
    <col min="5" max="5" width="14.81640625" style="110" bestFit="1" customWidth="1"/>
    <col min="6" max="6" width="14" style="110" bestFit="1" customWidth="1"/>
    <col min="7" max="7" width="16.453125" style="110" bestFit="1" customWidth="1"/>
    <col min="8" max="8" width="17.54296875" style="110" bestFit="1" customWidth="1"/>
    <col min="9" max="9" width="19.81640625" style="110" bestFit="1" customWidth="1"/>
    <col min="10" max="10" width="17.54296875" style="110" bestFit="1" customWidth="1"/>
    <col min="11" max="12" width="16.26953125" style="110" bestFit="1" customWidth="1"/>
    <col min="13" max="13" width="13.54296875" style="110" bestFit="1" customWidth="1"/>
    <col min="14" max="14" width="13" style="46" bestFit="1" customWidth="1"/>
    <col min="15" max="15" width="12.453125" style="110" bestFit="1" customWidth="1"/>
    <col min="16" max="16" width="13" style="110" bestFit="1" customWidth="1"/>
    <col min="17" max="17" width="12.453125" style="110" bestFit="1" customWidth="1"/>
    <col min="18" max="18" width="11.7265625" style="110" bestFit="1" customWidth="1"/>
    <col min="19" max="19" width="11.54296875" style="110" bestFit="1" customWidth="1"/>
    <col min="20" max="20" width="12.26953125" style="110" bestFit="1" customWidth="1"/>
    <col min="21" max="27" width="21.54296875" style="110" customWidth="1"/>
    <col min="28" max="16384" width="21.54296875" style="110"/>
  </cols>
  <sheetData>
    <row r="1" spans="1:19" ht="13.4" customHeight="1" thickTop="1" x14ac:dyDescent="0.35">
      <c r="A1" s="69"/>
      <c r="B1" s="69"/>
      <c r="C1" s="69"/>
      <c r="D1" s="69"/>
      <c r="E1" s="69"/>
      <c r="F1" s="69"/>
      <c r="G1" s="69"/>
      <c r="H1" s="69"/>
      <c r="I1" s="69"/>
      <c r="J1" s="69"/>
      <c r="K1" s="69"/>
      <c r="L1" s="69"/>
      <c r="M1" s="69"/>
      <c r="N1" s="73"/>
      <c r="O1" s="69"/>
      <c r="P1" s="69"/>
      <c r="Q1" s="69"/>
      <c r="R1" s="69"/>
      <c r="S1" s="74"/>
    </row>
    <row r="2" spans="1:19" ht="14.65" customHeight="1" x14ac:dyDescent="0.35">
      <c r="A2" s="316" t="s">
        <v>7</v>
      </c>
      <c r="B2" s="306"/>
      <c r="C2" s="306"/>
      <c r="D2" s="306"/>
      <c r="E2" s="306"/>
      <c r="F2" s="306"/>
      <c r="G2" s="306"/>
      <c r="H2" s="306"/>
      <c r="I2" s="306"/>
      <c r="J2" s="306"/>
      <c r="K2" s="307"/>
      <c r="L2" s="75"/>
      <c r="M2" s="75"/>
      <c r="N2" s="75"/>
      <c r="O2" s="74"/>
      <c r="P2" s="74"/>
      <c r="Q2" s="74"/>
      <c r="R2" s="74"/>
      <c r="S2" s="74"/>
    </row>
    <row r="3" spans="1:19" x14ac:dyDescent="0.35">
      <c r="A3" s="59" t="s">
        <v>10</v>
      </c>
      <c r="B3" s="59" t="s">
        <v>11</v>
      </c>
      <c r="C3" s="59" t="s">
        <v>12</v>
      </c>
      <c r="D3" s="59" t="s">
        <v>13</v>
      </c>
      <c r="E3" s="59" t="s">
        <v>14</v>
      </c>
      <c r="F3" s="59" t="s">
        <v>15</v>
      </c>
      <c r="G3" s="59" t="s">
        <v>16</v>
      </c>
      <c r="H3" s="59" t="s">
        <v>17</v>
      </c>
      <c r="I3" s="59" t="s">
        <v>18</v>
      </c>
      <c r="J3" s="59" t="s">
        <v>19</v>
      </c>
      <c r="K3" s="59" t="s">
        <v>20</v>
      </c>
      <c r="L3" s="77"/>
      <c r="M3" s="74"/>
      <c r="N3" s="78"/>
      <c r="O3" s="74"/>
      <c r="P3" s="74"/>
      <c r="Q3" s="74"/>
      <c r="R3" s="74"/>
      <c r="S3" s="74"/>
    </row>
    <row r="4" spans="1:19" x14ac:dyDescent="0.3">
      <c r="A4" s="245" t="s">
        <v>373</v>
      </c>
      <c r="B4" s="240" t="s">
        <v>27</v>
      </c>
      <c r="C4" s="240">
        <v>0</v>
      </c>
      <c r="D4" s="245"/>
      <c r="E4" s="245" t="s">
        <v>374</v>
      </c>
      <c r="F4" s="245" t="s">
        <v>375</v>
      </c>
      <c r="G4" s="238" t="s">
        <v>25</v>
      </c>
      <c r="H4" s="245" t="s">
        <v>376</v>
      </c>
      <c r="I4" s="245" t="s">
        <v>377</v>
      </c>
      <c r="J4" s="245"/>
      <c r="K4" s="60">
        <v>36892</v>
      </c>
      <c r="L4" s="79"/>
      <c r="M4" s="74"/>
      <c r="N4" s="78"/>
      <c r="O4" s="74"/>
      <c r="P4" s="74"/>
      <c r="Q4" s="74"/>
      <c r="R4" s="74"/>
      <c r="S4" s="74"/>
    </row>
    <row r="5" spans="1:19" x14ac:dyDescent="0.35">
      <c r="A5" s="74"/>
      <c r="B5" s="74"/>
      <c r="C5" s="74"/>
      <c r="D5" s="74"/>
      <c r="E5" s="74"/>
      <c r="F5" s="74"/>
      <c r="G5" s="74"/>
      <c r="H5" s="74"/>
      <c r="I5" s="74"/>
      <c r="J5" s="74"/>
      <c r="K5" s="74"/>
      <c r="L5" s="74"/>
      <c r="M5" s="74"/>
      <c r="N5" s="78"/>
      <c r="O5" s="74"/>
      <c r="P5" s="74"/>
      <c r="Q5" s="74"/>
      <c r="R5" s="74"/>
      <c r="S5" s="74"/>
    </row>
    <row r="6" spans="1:19" ht="14.65" customHeight="1" x14ac:dyDescent="0.35">
      <c r="A6" s="316" t="s">
        <v>36</v>
      </c>
      <c r="B6" s="306"/>
      <c r="C6" s="306"/>
      <c r="D6" s="306"/>
      <c r="E6" s="306"/>
      <c r="F6" s="306"/>
      <c r="G6" s="306"/>
      <c r="H6" s="306"/>
      <c r="I6" s="306"/>
      <c r="J6" s="306"/>
      <c r="K6" s="306"/>
      <c r="L6" s="306"/>
      <c r="M6" s="306"/>
      <c r="N6" s="306"/>
      <c r="O6" s="306"/>
      <c r="P6" s="306"/>
      <c r="Q6" s="307"/>
      <c r="R6" s="75"/>
      <c r="S6" s="74"/>
    </row>
    <row r="7" spans="1:19" x14ac:dyDescent="0.35">
      <c r="A7" s="59" t="s">
        <v>378</v>
      </c>
      <c r="B7" s="59" t="s">
        <v>14</v>
      </c>
      <c r="C7" s="59" t="s">
        <v>15</v>
      </c>
      <c r="D7" s="59" t="s">
        <v>16</v>
      </c>
      <c r="E7" s="59" t="s">
        <v>379</v>
      </c>
      <c r="F7" s="59" t="s">
        <v>380</v>
      </c>
      <c r="G7" s="59" t="s">
        <v>381</v>
      </c>
      <c r="H7" s="59" t="s">
        <v>382</v>
      </c>
      <c r="I7" s="59" t="s">
        <v>383</v>
      </c>
      <c r="J7" s="59" t="s">
        <v>384</v>
      </c>
      <c r="K7" s="59" t="s">
        <v>385</v>
      </c>
      <c r="L7" s="59" t="s">
        <v>386</v>
      </c>
      <c r="N7" s="110"/>
    </row>
    <row r="8" spans="1:19" x14ac:dyDescent="0.35">
      <c r="A8" s="246">
        <v>0</v>
      </c>
      <c r="B8" s="246" t="s">
        <v>387</v>
      </c>
      <c r="C8" s="246" t="s">
        <v>388</v>
      </c>
      <c r="D8" s="239" t="s">
        <v>29</v>
      </c>
      <c r="E8" s="239" t="b">
        <v>1</v>
      </c>
      <c r="F8" s="239" t="b">
        <v>0</v>
      </c>
      <c r="G8" s="239" t="b">
        <v>1</v>
      </c>
      <c r="H8" s="239" t="b">
        <v>1</v>
      </c>
      <c r="I8" s="239">
        <v>2</v>
      </c>
      <c r="J8" s="239">
        <v>4</v>
      </c>
      <c r="K8" s="239">
        <v>0</v>
      </c>
      <c r="L8" s="239">
        <v>21</v>
      </c>
      <c r="N8" s="110"/>
    </row>
    <row r="9" spans="1:19" x14ac:dyDescent="0.35">
      <c r="A9" s="246">
        <v>1</v>
      </c>
      <c r="B9" s="246" t="s">
        <v>389</v>
      </c>
      <c r="C9" s="246" t="s">
        <v>390</v>
      </c>
      <c r="D9" s="239" t="s">
        <v>29</v>
      </c>
      <c r="E9" s="239" t="b">
        <v>1</v>
      </c>
      <c r="F9" s="239" t="b">
        <v>0</v>
      </c>
      <c r="G9" s="239" t="b">
        <v>1</v>
      </c>
      <c r="H9" s="239" t="b">
        <v>1</v>
      </c>
      <c r="I9" s="239">
        <v>2</v>
      </c>
      <c r="J9" s="239">
        <v>4</v>
      </c>
      <c r="K9" s="239">
        <v>0</v>
      </c>
      <c r="L9" s="239">
        <v>21</v>
      </c>
      <c r="N9" s="110"/>
    </row>
    <row r="10" spans="1:19" x14ac:dyDescent="0.35">
      <c r="A10" s="246">
        <v>2</v>
      </c>
      <c r="B10" s="246" t="s">
        <v>391</v>
      </c>
      <c r="C10" s="246" t="s">
        <v>392</v>
      </c>
      <c r="D10" s="239" t="s">
        <v>25</v>
      </c>
      <c r="E10" s="239" t="b">
        <v>1</v>
      </c>
      <c r="F10" s="239" t="b">
        <v>0</v>
      </c>
      <c r="G10" s="239" t="b">
        <v>1</v>
      </c>
      <c r="H10" s="239" t="b">
        <v>1</v>
      </c>
      <c r="I10" s="239">
        <v>2</v>
      </c>
      <c r="J10" s="239">
        <v>4</v>
      </c>
      <c r="K10" s="239">
        <v>0</v>
      </c>
      <c r="L10" s="239">
        <v>21</v>
      </c>
      <c r="N10" s="110"/>
    </row>
    <row r="11" spans="1:19" x14ac:dyDescent="0.35">
      <c r="A11" s="246">
        <v>3</v>
      </c>
      <c r="B11" s="246" t="s">
        <v>393</v>
      </c>
      <c r="C11" s="246" t="s">
        <v>394</v>
      </c>
      <c r="D11" s="239" t="s">
        <v>25</v>
      </c>
      <c r="E11" s="239" t="b">
        <v>1</v>
      </c>
      <c r="F11" s="239" t="b">
        <v>0</v>
      </c>
      <c r="G11" s="239" t="b">
        <v>1</v>
      </c>
      <c r="H11" s="239" t="b">
        <v>1</v>
      </c>
      <c r="I11" s="239">
        <v>2</v>
      </c>
      <c r="J11" s="239">
        <v>4</v>
      </c>
      <c r="K11" s="239">
        <v>0</v>
      </c>
      <c r="L11" s="239">
        <v>21</v>
      </c>
      <c r="N11" s="110"/>
    </row>
    <row r="12" spans="1:19" x14ac:dyDescent="0.35">
      <c r="A12" s="246">
        <v>4</v>
      </c>
      <c r="B12" s="246" t="s">
        <v>395</v>
      </c>
      <c r="C12" s="246" t="s">
        <v>396</v>
      </c>
      <c r="D12" s="239" t="s">
        <v>25</v>
      </c>
      <c r="E12" s="239" t="b">
        <v>1</v>
      </c>
      <c r="F12" s="239" t="b">
        <v>0</v>
      </c>
      <c r="G12" s="239" t="b">
        <v>1</v>
      </c>
      <c r="H12" s="239" t="b">
        <v>1</v>
      </c>
      <c r="I12" s="239">
        <v>2</v>
      </c>
      <c r="J12" s="239">
        <v>4</v>
      </c>
      <c r="K12" s="239">
        <v>0</v>
      </c>
      <c r="L12" s="239">
        <v>21</v>
      </c>
      <c r="N12" s="110"/>
    </row>
    <row r="13" spans="1:19" ht="13.4" customHeight="1" thickBot="1" x14ac:dyDescent="0.4">
      <c r="A13" s="62"/>
      <c r="B13" s="62"/>
      <c r="C13" s="62"/>
      <c r="D13" s="62"/>
      <c r="E13" s="62"/>
      <c r="F13" s="62"/>
      <c r="G13" s="62"/>
      <c r="H13" s="62"/>
      <c r="I13" s="62"/>
      <c r="J13" s="62"/>
      <c r="K13" s="62"/>
      <c r="L13" s="62"/>
      <c r="M13" s="62"/>
      <c r="N13" s="70"/>
      <c r="O13" s="62"/>
      <c r="P13" s="62"/>
      <c r="Q13" s="62"/>
      <c r="R13" s="62"/>
      <c r="S13" s="74"/>
    </row>
    <row r="14" spans="1:19" ht="13.4" customHeight="1" thickTop="1" x14ac:dyDescent="0.35">
      <c r="A14" s="68"/>
      <c r="B14" s="68"/>
      <c r="C14" s="68"/>
      <c r="D14" s="68"/>
      <c r="E14" s="68"/>
      <c r="F14" s="68"/>
      <c r="G14" s="68"/>
      <c r="H14" s="68"/>
      <c r="I14" s="68"/>
      <c r="J14" s="68"/>
      <c r="K14" s="68"/>
      <c r="L14" s="68"/>
      <c r="M14" s="68"/>
      <c r="N14" s="71"/>
      <c r="O14" s="68"/>
      <c r="P14" s="68"/>
      <c r="Q14" s="68"/>
      <c r="R14" s="228"/>
      <c r="S14" s="74"/>
    </row>
    <row r="15" spans="1:19" ht="14.65" customHeight="1" x14ac:dyDescent="0.35">
      <c r="A15" s="317" t="s">
        <v>7</v>
      </c>
      <c r="B15" s="306"/>
      <c r="C15" s="306"/>
      <c r="D15" s="306"/>
      <c r="E15" s="306"/>
      <c r="F15" s="306"/>
      <c r="G15" s="306"/>
      <c r="H15" s="306"/>
      <c r="I15" s="306"/>
      <c r="J15" s="306"/>
      <c r="K15" s="307"/>
      <c r="L15" s="76"/>
      <c r="M15" s="76"/>
      <c r="N15" s="76"/>
      <c r="O15" s="85"/>
      <c r="P15" s="85"/>
      <c r="Q15" s="85"/>
      <c r="R15" s="227"/>
      <c r="S15" s="74"/>
    </row>
    <row r="16" spans="1:19" x14ac:dyDescent="0.35">
      <c r="A16" s="233" t="s">
        <v>10</v>
      </c>
      <c r="B16" s="233" t="s">
        <v>11</v>
      </c>
      <c r="C16" s="233" t="s">
        <v>12</v>
      </c>
      <c r="D16" s="233" t="s">
        <v>13</v>
      </c>
      <c r="E16" s="233" t="s">
        <v>14</v>
      </c>
      <c r="F16" s="233" t="s">
        <v>15</v>
      </c>
      <c r="G16" s="233" t="s">
        <v>16</v>
      </c>
      <c r="H16" s="233" t="s">
        <v>17</v>
      </c>
      <c r="I16" s="233" t="s">
        <v>18</v>
      </c>
      <c r="J16" s="233" t="s">
        <v>19</v>
      </c>
      <c r="K16" s="233" t="s">
        <v>20</v>
      </c>
      <c r="L16" s="80"/>
      <c r="M16" s="80"/>
      <c r="N16" s="81"/>
      <c r="O16" s="85"/>
      <c r="P16" s="85"/>
      <c r="Q16" s="85"/>
      <c r="R16" s="227"/>
      <c r="S16" s="74"/>
    </row>
    <row r="17" spans="1:21" x14ac:dyDescent="0.3">
      <c r="A17" s="246" t="s">
        <v>397</v>
      </c>
      <c r="B17" s="241" t="s">
        <v>27</v>
      </c>
      <c r="C17" s="241">
        <v>0</v>
      </c>
      <c r="D17" s="246"/>
      <c r="E17" s="246" t="s">
        <v>398</v>
      </c>
      <c r="F17" s="246" t="s">
        <v>375</v>
      </c>
      <c r="G17" s="239" t="s">
        <v>25</v>
      </c>
      <c r="H17" s="246" t="s">
        <v>399</v>
      </c>
      <c r="I17" s="246" t="s">
        <v>400</v>
      </c>
      <c r="J17" s="246"/>
      <c r="K17" s="65">
        <v>36892</v>
      </c>
      <c r="L17" s="82"/>
      <c r="M17" s="82"/>
      <c r="N17" s="83"/>
      <c r="O17" s="85"/>
      <c r="P17" s="85"/>
      <c r="Q17" s="85"/>
      <c r="R17" s="227"/>
      <c r="S17" s="74"/>
    </row>
    <row r="18" spans="1:21" x14ac:dyDescent="0.35">
      <c r="A18" s="85"/>
      <c r="B18" s="85"/>
      <c r="C18" s="85"/>
      <c r="D18" s="85"/>
      <c r="E18" s="85"/>
      <c r="F18" s="85"/>
      <c r="G18" s="85"/>
      <c r="H18" s="85"/>
      <c r="I18" s="85"/>
      <c r="J18" s="85"/>
      <c r="K18" s="85"/>
      <c r="L18" s="85"/>
      <c r="M18" s="85"/>
      <c r="N18" s="83"/>
      <c r="O18" s="85"/>
      <c r="P18" s="85"/>
      <c r="Q18" s="85"/>
      <c r="R18" s="227"/>
      <c r="S18" s="74"/>
    </row>
    <row r="19" spans="1:21" ht="14.65" customHeight="1" x14ac:dyDescent="0.35">
      <c r="A19" s="317" t="s">
        <v>36</v>
      </c>
      <c r="B19" s="306"/>
      <c r="C19" s="306"/>
      <c r="D19" s="306"/>
      <c r="E19" s="306"/>
      <c r="F19" s="306"/>
      <c r="G19" s="306"/>
      <c r="H19" s="306"/>
      <c r="I19" s="306"/>
      <c r="J19" s="306"/>
      <c r="K19" s="306"/>
      <c r="L19" s="306"/>
      <c r="M19" s="306"/>
      <c r="N19" s="306"/>
      <c r="O19" s="306"/>
      <c r="P19" s="306"/>
      <c r="Q19" s="307"/>
      <c r="R19" s="226"/>
      <c r="S19" s="74"/>
    </row>
    <row r="20" spans="1:21" x14ac:dyDescent="0.35">
      <c r="A20" s="59" t="s">
        <v>13</v>
      </c>
      <c r="B20" s="59" t="s">
        <v>14</v>
      </c>
      <c r="C20" s="59" t="s">
        <v>15</v>
      </c>
      <c r="D20" s="59" t="s">
        <v>16</v>
      </c>
      <c r="E20" s="59" t="s">
        <v>379</v>
      </c>
      <c r="F20" s="59" t="s">
        <v>380</v>
      </c>
      <c r="G20" s="59" t="s">
        <v>381</v>
      </c>
      <c r="H20" s="59" t="s">
        <v>382</v>
      </c>
      <c r="I20" s="59" t="s">
        <v>383</v>
      </c>
      <c r="J20" s="59" t="s">
        <v>384</v>
      </c>
      <c r="K20" s="59" t="s">
        <v>385</v>
      </c>
      <c r="L20" s="59" t="s">
        <v>386</v>
      </c>
      <c r="M20" s="85"/>
      <c r="N20" s="85"/>
      <c r="O20" s="85"/>
      <c r="P20" s="85"/>
      <c r="Q20" s="85"/>
      <c r="R20" s="85"/>
      <c r="S20" s="85"/>
      <c r="T20" s="76"/>
      <c r="U20" s="74"/>
    </row>
    <row r="21" spans="1:21" x14ac:dyDescent="0.35">
      <c r="A21" s="246">
        <v>0</v>
      </c>
      <c r="B21" s="246" t="s">
        <v>401</v>
      </c>
      <c r="C21" s="246" t="s">
        <v>402</v>
      </c>
      <c r="D21" s="239" t="s">
        <v>25</v>
      </c>
      <c r="E21" s="239" t="b">
        <v>1</v>
      </c>
      <c r="F21" s="239" t="b">
        <v>0</v>
      </c>
      <c r="G21" s="239" t="b">
        <v>1</v>
      </c>
      <c r="H21" s="239" t="b">
        <v>1</v>
      </c>
      <c r="I21" s="239">
        <v>2</v>
      </c>
      <c r="J21" s="239">
        <v>4</v>
      </c>
      <c r="K21" s="239">
        <v>0</v>
      </c>
      <c r="L21" s="239">
        <v>21</v>
      </c>
      <c r="N21" s="110"/>
    </row>
    <row r="22" spans="1:21" x14ac:dyDescent="0.35">
      <c r="A22" s="246">
        <v>1</v>
      </c>
      <c r="B22" s="246" t="s">
        <v>403</v>
      </c>
      <c r="C22" s="246" t="s">
        <v>404</v>
      </c>
      <c r="D22" s="239" t="s">
        <v>25</v>
      </c>
      <c r="E22" s="239" t="b">
        <v>1</v>
      </c>
      <c r="F22" s="239" t="b">
        <v>0</v>
      </c>
      <c r="G22" s="239" t="b">
        <v>1</v>
      </c>
      <c r="H22" s="239" t="b">
        <v>1</v>
      </c>
      <c r="I22" s="239">
        <v>2</v>
      </c>
      <c r="J22" s="239">
        <v>4</v>
      </c>
      <c r="K22" s="239">
        <v>0</v>
      </c>
      <c r="L22" s="239">
        <v>21</v>
      </c>
      <c r="N22" s="110"/>
    </row>
    <row r="23" spans="1:21" x14ac:dyDescent="0.35">
      <c r="A23" s="246">
        <v>2</v>
      </c>
      <c r="B23" s="246" t="s">
        <v>405</v>
      </c>
      <c r="C23" s="246" t="s">
        <v>406</v>
      </c>
      <c r="D23" s="239" t="s">
        <v>25</v>
      </c>
      <c r="E23" s="239" t="b">
        <v>1</v>
      </c>
      <c r="F23" s="239" t="b">
        <v>0</v>
      </c>
      <c r="G23" s="239" t="b">
        <v>1</v>
      </c>
      <c r="H23" s="239" t="b">
        <v>1</v>
      </c>
      <c r="I23" s="239">
        <v>2</v>
      </c>
      <c r="J23" s="239">
        <v>4</v>
      </c>
      <c r="K23" s="239">
        <v>0</v>
      </c>
      <c r="L23" s="239">
        <v>21</v>
      </c>
      <c r="N23" s="110"/>
    </row>
    <row r="24" spans="1:21" x14ac:dyDescent="0.35">
      <c r="N24" s="110"/>
    </row>
    <row r="25" spans="1:21" ht="13.4" customHeight="1" thickBot="1" x14ac:dyDescent="0.4">
      <c r="A25" s="66"/>
      <c r="B25" s="66"/>
      <c r="C25" s="66"/>
      <c r="D25" s="66"/>
      <c r="E25" s="66"/>
      <c r="F25" s="66"/>
      <c r="G25" s="66"/>
      <c r="H25" s="66"/>
      <c r="I25" s="66"/>
      <c r="J25" s="66"/>
      <c r="K25" s="66"/>
      <c r="L25" s="66"/>
      <c r="M25" s="72"/>
      <c r="N25" s="66"/>
      <c r="O25" s="66"/>
      <c r="P25" s="66"/>
      <c r="Q25" s="225"/>
      <c r="R25" s="74"/>
    </row>
    <row r="26" spans="1:21" ht="13.4" customHeight="1" thickTop="1" x14ac:dyDescent="0.35">
      <c r="A26" s="69"/>
      <c r="B26" s="69"/>
      <c r="C26" s="69"/>
      <c r="D26" s="69"/>
      <c r="E26" s="69"/>
      <c r="F26" s="69"/>
      <c r="G26" s="69"/>
      <c r="H26" s="69"/>
      <c r="I26" s="69"/>
      <c r="J26" s="69"/>
      <c r="K26" s="69"/>
      <c r="L26" s="69"/>
      <c r="M26" s="69"/>
      <c r="N26" s="73"/>
      <c r="O26" s="69"/>
      <c r="P26" s="69"/>
      <c r="Q26" s="69"/>
      <c r="R26" s="69"/>
      <c r="S26" s="74"/>
    </row>
  </sheetData>
  <mergeCells count="4">
    <mergeCell ref="A2:K2"/>
    <mergeCell ref="A6:Q6"/>
    <mergeCell ref="A15:K15"/>
    <mergeCell ref="A19:Q19"/>
  </mergeCells>
  <dataValidations count="26">
    <dataValidation allowBlank="1" showInputMessage="1" showErrorMessage="1" promptTitle="Port Action Tx Packet" prompt="Sets the output actions for a port that are caused by an internal trigger being set._x000a_This action will be triggered by the time-code and will respond with a data packet." sqref="H7 H20" xr:uid="{00000000-0002-0000-0600-000000000000}"/>
    <dataValidation allowBlank="1" showInputMessage="1" showErrorMessage="1" promptTitle="Trigger on Timecode" prompt="Determines if the software transmits a data packet on the receipt of a timecode character." sqref="G7 G20" xr:uid="{00000000-0002-0000-0600-000001000000}"/>
    <dataValidation type="list" allowBlank="1" showInputMessage="1" showErrorMessage="1" errorTitle="Invalid Input" error="Only the predefined options may be used" sqref="K21:K23 K8:K12" xr:uid="{00000000-0002-0000-0600-000002000000}">
      <formula1>"'---, 0, 1, 2, 3, 4"</formula1>
    </dataValidation>
    <dataValidation type="list" allowBlank="1" showInputMessage="1" showErrorMessage="1" errorTitle="Invalid Input" error="Only the predefined options may be used" sqref="E8:H12 E21:H23" xr:uid="{00000000-0002-0000-0600-000003000000}">
      <formula1>"'---, TRUE, FALSE"</formula1>
    </dataValidation>
    <dataValidation allowBlank="1" showInputMessage="1" showErrorMessage="1" promptTitle="Internal Trigger" sqref="K20:L20 K7:L7" xr:uid="{00000000-0002-0000-0600-000004000000}"/>
    <dataValidation allowBlank="1" showInputMessage="1" showErrorMessage="1" promptTitle="Transmit Clock Divisor" prompt="The transmit rate of the link is given by:_x000a_TxClock (200 Mbits/s) * Multiplier / Divisor_x000a__x000a_The rate must be &gt;= 2 Mbits/sec" sqref="J7 J20" xr:uid="{00000000-0002-0000-0600-000005000000}"/>
    <dataValidation allowBlank="1" showInputMessage="1" showErrorMessage="1" promptTitle="Transmit Clock Multipler" prompt="The transmit rate of the link is given by:_x000a_TxClock (200 Mbits/s) * Multiplier / Divisor_x000a__x000a_The rate must be &gt;= 2 Mbits/sec" sqref="I20 I7" xr:uid="{00000000-0002-0000-0600-000006000000}"/>
    <dataValidation allowBlank="1" showInputMessage="1" showErrorMessage="1" promptTitle="Tri-State Enabled" prompt="When enabled the tri-state will put the LVDS drivers into a low current mode.  Stops any connections and may cause an error.  Disable this feature." sqref="F20 F7" xr:uid="{00000000-0002-0000-0600-000007000000}"/>
    <dataValidation allowBlank="1" showInputMessage="1" showErrorMessage="1" promptTitle="AutoStart Enabled" prompt="The Spacewire port  will wait until the other end of the link tries to make a connection (sending NULLS) and will then automatically start." sqref="E20 E7" xr:uid="{00000000-0002-0000-0600-000008000000}"/>
    <dataValidation allowBlank="1" showInputMessage="1" showErrorMessage="1" promptTitle="Enabled" prompt="--- = OFF (Not enabled)_x000a_Yes = ON (Enabled)" sqref="D7 D20" xr:uid="{00000000-0002-0000-0600-000009000000}"/>
    <dataValidation allowBlank="1" showInputMessage="1" showErrorMessage="1" promptTitle="Description" prompt="Optional description of the specific channel" sqref="C7 C20" xr:uid="{00000000-0002-0000-0600-00000A000000}"/>
    <dataValidation allowBlank="1" showInputMessage="1" showErrorMessage="1" promptTitle="Software Alias" prompt="Software Alias of the specific channel." sqref="B7 B20" xr:uid="{00000000-0002-0000-0600-00000B000000}"/>
    <dataValidation allowBlank="1" showInputMessage="1" showErrorMessage="1" promptTitle="Address" prompt="Specific Address of an Instrument Channel" sqref="A7 A20" xr:uid="{00000000-0002-0000-0600-00000C000000}"/>
    <dataValidation type="date" operator="greaterThan" allowBlank="1" showInputMessage="1" showErrorMessage="1" promptTitle="Calibration Date" prompt="Optional Input that assigns a calibration date to an instrument" sqref="K4 K17" xr:uid="{00000000-0002-0000-0600-00000D000000}">
      <formula1>36526</formula1>
    </dataValidation>
    <dataValidation allowBlank="1" showInputMessage="1" showErrorMessage="1" promptTitle="Asset Number" prompt="Optional input that assigns an asset number to the instrument" sqref="J4 J17" xr:uid="{00000000-0002-0000-0600-00000E000000}"/>
    <dataValidation allowBlank="1" showInputMessage="1" showErrorMessage="1" promptTitle="Serial Number" prompt="Optional input if the instrument doesn't allow for programatic query of serial number" sqref="I4 I17" xr:uid="{00000000-0002-0000-0600-00000F000000}"/>
    <dataValidation allowBlank="1" showInputMessage="1" showErrorMessage="1" promptTitle="Model" prompt="Optional input if the instrument doesn't allow for programatic query of model number" sqref="H4 H17" xr:uid="{00000000-0002-0000-0600-000010000000}"/>
    <dataValidation type="list" allowBlank="1" showInputMessage="1" showErrorMessage="1" promptTitle="Enabled" prompt="--- = OFF (Not enabled)_x000a_Yes = ON (Enabled)" sqref="G4 G17" xr:uid="{00000000-0002-0000-0600-000011000000}">
      <formula1>"Yes,'---"</formula1>
    </dataValidation>
    <dataValidation allowBlank="1" showInputMessage="1" showErrorMessage="1" promptTitle="Engine Port Setting" prompt="Port of the machine that the instrument specific engine is running on._x000a_0 = Default" sqref="C4 C17" xr:uid="{00000000-0002-0000-0600-000012000000}"/>
    <dataValidation type="list" allowBlank="1" showInputMessage="1" showErrorMessage="1" promptTitle="Engine IP Address" prompt="IP address of the machine that the instrument specific engine is running on" sqref="B17 B4" xr:uid="{00000000-0002-0000-0600-000013000000}">
      <formula1>"LocalHost"</formula1>
    </dataValidation>
    <dataValidation allowBlank="1" showInputMessage="1" showErrorMessage="1" promptTitle="Description" prompt="Optional description of the instrument" sqref="F4 F17" xr:uid="{00000000-0002-0000-0600-000014000000}"/>
    <dataValidation allowBlank="1" showInputMessage="1" showErrorMessage="1" promptTitle="Software Alias" prompt="Alias given to the Instrument" sqref="E4 E17" xr:uid="{00000000-0002-0000-0600-000015000000}"/>
    <dataValidation allowBlank="1" showInputMessage="1" showErrorMessage="1" promptTitle="Address" prompt="Address to communicate with the instrument" sqref="D4 D17" xr:uid="{00000000-0002-0000-0600-000016000000}"/>
    <dataValidation allowBlank="1" showInputMessage="1" showErrorMessage="1" promptTitle="Type" prompt="Determines the Instrument type" sqref="A4 A17" xr:uid="{00000000-0002-0000-0600-000017000000}"/>
    <dataValidation type="list" allowBlank="1" showInputMessage="1" showErrorMessage="1" sqref="D21:D23 D8:D12" xr:uid="{00000000-0002-0000-0600-000018000000}">
      <formula1>"Yes,'---"</formula1>
    </dataValidation>
    <dataValidation type="date" operator="greaterThan" allowBlank="1" showInputMessage="1" showErrorMessage="1" sqref="L4" xr:uid="{00000000-0002-0000-0600-000019000000}">
      <formula1>36526</formula1>
    </dataValidation>
  </dataValidation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P170"/>
  <sheetViews>
    <sheetView zoomScaleNormal="100" workbookViewId="0">
      <selection activeCell="C65" sqref="C65"/>
    </sheetView>
  </sheetViews>
  <sheetFormatPr defaultColWidth="8.7265625" defaultRowHeight="13" x14ac:dyDescent="0.3"/>
  <cols>
    <col min="1" max="1" width="13.26953125" style="119" bestFit="1" customWidth="1"/>
    <col min="2" max="2" width="19.54296875" style="119" bestFit="1" customWidth="1"/>
    <col min="3" max="3" width="16.453125" style="119" bestFit="1" customWidth="1"/>
    <col min="4" max="4" width="11.81640625" style="119" bestFit="1" customWidth="1"/>
    <col min="5" max="6" width="16.453125" style="119" bestFit="1" customWidth="1"/>
    <col min="7" max="7" width="9.81640625" style="119" bestFit="1" customWidth="1"/>
    <col min="8" max="8" width="6" style="119" bestFit="1" customWidth="1"/>
    <col min="9" max="10" width="12.26953125" style="119" bestFit="1" customWidth="1"/>
    <col min="11" max="11" width="13.7265625" style="119" bestFit="1" customWidth="1"/>
    <col min="12" max="12" width="13.26953125" style="119" bestFit="1" customWidth="1"/>
    <col min="13" max="13" width="19.54296875" style="119" bestFit="1" customWidth="1"/>
    <col min="14" max="14" width="16.453125" style="119" bestFit="1" customWidth="1"/>
    <col min="15" max="15" width="9.26953125" style="119" bestFit="1" customWidth="1"/>
    <col min="16" max="16" width="5.7265625" style="119" bestFit="1" customWidth="1"/>
    <col min="17" max="17" width="8.7265625" style="119" customWidth="1"/>
    <col min="18" max="18" width="27.81640625" style="119" bestFit="1" customWidth="1"/>
    <col min="19" max="19" width="17" style="119" bestFit="1" customWidth="1"/>
    <col min="20" max="26" width="8.7265625" style="119" customWidth="1"/>
    <col min="27" max="16384" width="8.7265625" style="119"/>
  </cols>
  <sheetData>
    <row r="1" spans="1:16" ht="14.65" customHeight="1" x14ac:dyDescent="0.35">
      <c r="A1" s="318" t="s">
        <v>7</v>
      </c>
      <c r="B1" s="303"/>
      <c r="C1" s="303"/>
      <c r="D1" s="303"/>
      <c r="E1" s="303"/>
      <c r="F1" s="303"/>
      <c r="G1" s="303"/>
      <c r="H1" s="303"/>
      <c r="I1" s="303"/>
      <c r="J1" s="303"/>
      <c r="K1" s="303"/>
      <c r="L1" s="303"/>
      <c r="M1" s="303"/>
      <c r="N1" s="303"/>
      <c r="O1" s="303"/>
      <c r="P1" s="303"/>
    </row>
    <row r="2" spans="1:16" x14ac:dyDescent="0.3">
      <c r="A2" s="59" t="s">
        <v>10</v>
      </c>
      <c r="B2" s="59" t="s">
        <v>11</v>
      </c>
      <c r="C2" s="59" t="s">
        <v>12</v>
      </c>
      <c r="D2" s="59" t="s">
        <v>13</v>
      </c>
      <c r="E2" s="59" t="s">
        <v>14</v>
      </c>
      <c r="F2" s="59" t="s">
        <v>15</v>
      </c>
      <c r="G2" s="59" t="s">
        <v>16</v>
      </c>
      <c r="H2" s="59" t="s">
        <v>17</v>
      </c>
      <c r="I2" s="59" t="s">
        <v>18</v>
      </c>
      <c r="J2" s="59" t="s">
        <v>19</v>
      </c>
      <c r="K2" s="59" t="s">
        <v>20</v>
      </c>
      <c r="L2" s="59" t="s">
        <v>407</v>
      </c>
      <c r="M2" s="59" t="s">
        <v>314</v>
      </c>
      <c r="N2" s="59" t="s">
        <v>408</v>
      </c>
      <c r="O2" s="59" t="s">
        <v>409</v>
      </c>
      <c r="P2" s="59" t="s">
        <v>410</v>
      </c>
    </row>
    <row r="3" spans="1:16" x14ac:dyDescent="0.3">
      <c r="A3" s="240" t="s">
        <v>315</v>
      </c>
      <c r="B3" s="240" t="s">
        <v>27</v>
      </c>
      <c r="C3" s="240">
        <v>0</v>
      </c>
      <c r="D3" s="240" t="s">
        <v>411</v>
      </c>
      <c r="E3" s="240" t="s">
        <v>411</v>
      </c>
      <c r="F3" s="240" t="s">
        <v>412</v>
      </c>
      <c r="G3" s="193" t="s">
        <v>25</v>
      </c>
      <c r="H3" s="240">
        <v>4081</v>
      </c>
      <c r="I3" s="240">
        <v>644</v>
      </c>
      <c r="J3" s="240">
        <v>888</v>
      </c>
      <c r="K3" s="10">
        <v>36892</v>
      </c>
      <c r="L3" s="240" t="s">
        <v>413</v>
      </c>
      <c r="M3" s="240" t="s">
        <v>414</v>
      </c>
      <c r="N3" s="240" t="s">
        <v>414</v>
      </c>
      <c r="O3" s="240" t="s">
        <v>415</v>
      </c>
      <c r="P3" s="240">
        <v>10</v>
      </c>
    </row>
    <row r="4" spans="1:16" x14ac:dyDescent="0.3">
      <c r="A4" s="101"/>
      <c r="B4" s="101"/>
      <c r="C4" s="101"/>
      <c r="D4" s="101"/>
      <c r="E4" s="12"/>
      <c r="F4" s="52"/>
      <c r="G4" s="52"/>
      <c r="H4" s="96"/>
      <c r="I4" s="52"/>
      <c r="J4" s="52"/>
      <c r="K4" s="52"/>
      <c r="L4" s="52"/>
      <c r="M4" s="52"/>
      <c r="N4" s="52"/>
      <c r="O4" s="52"/>
      <c r="P4" s="52"/>
    </row>
    <row r="5" spans="1:16" ht="14.65" customHeight="1" x14ac:dyDescent="0.35">
      <c r="A5" s="314" t="s">
        <v>36</v>
      </c>
      <c r="B5" s="310"/>
      <c r="C5" s="310"/>
      <c r="D5" s="310"/>
      <c r="E5" s="311"/>
      <c r="F5" s="213" t="s">
        <v>416</v>
      </c>
      <c r="G5" s="52"/>
      <c r="H5" s="96"/>
      <c r="I5" s="52"/>
      <c r="J5" s="52"/>
      <c r="K5" s="52"/>
      <c r="L5" s="52"/>
      <c r="M5" s="52"/>
      <c r="N5" s="52"/>
      <c r="O5" s="52"/>
      <c r="P5" s="52"/>
    </row>
    <row r="6" spans="1:16" x14ac:dyDescent="0.3">
      <c r="A6" s="1" t="s">
        <v>13</v>
      </c>
      <c r="B6" s="1" t="s">
        <v>14</v>
      </c>
      <c r="C6" s="1" t="s">
        <v>15</v>
      </c>
      <c r="D6" s="1" t="s">
        <v>16</v>
      </c>
      <c r="E6" s="59" t="s">
        <v>176</v>
      </c>
      <c r="F6" s="1" t="s">
        <v>417</v>
      </c>
      <c r="G6" s="96"/>
      <c r="H6" s="96"/>
      <c r="I6" s="52"/>
      <c r="J6" s="52"/>
      <c r="K6" s="52"/>
      <c r="L6" s="52"/>
      <c r="M6" s="52"/>
      <c r="N6" s="52"/>
      <c r="O6" s="52"/>
      <c r="P6" s="52"/>
    </row>
    <row r="7" spans="1:16" x14ac:dyDescent="0.3">
      <c r="A7" s="240">
        <v>0</v>
      </c>
      <c r="B7" s="240" t="s">
        <v>418</v>
      </c>
      <c r="C7" s="102" t="s">
        <v>419</v>
      </c>
      <c r="D7" s="236" t="s">
        <v>29</v>
      </c>
      <c r="E7" s="103" t="s">
        <v>420</v>
      </c>
      <c r="G7" s="104" t="s">
        <v>421</v>
      </c>
      <c r="H7" s="96"/>
      <c r="I7" s="52"/>
      <c r="J7" s="52"/>
      <c r="K7" s="52"/>
      <c r="L7" s="52"/>
      <c r="M7" s="52"/>
      <c r="N7" s="52"/>
      <c r="O7" s="52"/>
      <c r="P7" s="52"/>
    </row>
    <row r="8" spans="1:16" ht="13.4" customHeight="1" thickBot="1" x14ac:dyDescent="0.35">
      <c r="A8" s="5"/>
      <c r="B8" s="5"/>
      <c r="C8" s="5"/>
      <c r="D8" s="5"/>
      <c r="E8" s="5"/>
      <c r="F8" s="5"/>
      <c r="G8" s="5"/>
      <c r="H8" s="5"/>
      <c r="I8" s="5"/>
      <c r="J8" s="5"/>
      <c r="K8" s="5"/>
      <c r="L8" s="5"/>
      <c r="M8" s="5"/>
      <c r="N8" s="5"/>
      <c r="O8" s="5"/>
      <c r="P8" s="5"/>
    </row>
    <row r="9" spans="1:16" ht="13.4" customHeight="1" thickTop="1" x14ac:dyDescent="0.3">
      <c r="A9" s="21"/>
      <c r="B9" s="21"/>
      <c r="C9" s="21"/>
      <c r="D9" s="21"/>
      <c r="E9" s="21"/>
      <c r="F9" s="21"/>
      <c r="G9" s="21"/>
      <c r="H9" s="21"/>
      <c r="I9" s="21"/>
      <c r="J9" s="21"/>
      <c r="K9" s="21"/>
      <c r="L9" s="121"/>
      <c r="M9" s="121"/>
      <c r="N9" s="121"/>
      <c r="O9" s="121"/>
      <c r="P9" s="121"/>
    </row>
    <row r="10" spans="1:16" ht="14.65" customHeight="1" x14ac:dyDescent="0.35">
      <c r="A10" s="309" t="s">
        <v>7</v>
      </c>
      <c r="B10" s="310"/>
      <c r="C10" s="310"/>
      <c r="D10" s="310"/>
      <c r="E10" s="310"/>
      <c r="F10" s="310"/>
      <c r="G10" s="310"/>
      <c r="H10" s="310"/>
      <c r="I10" s="310"/>
      <c r="J10" s="310"/>
      <c r="K10" s="310"/>
      <c r="L10" s="310"/>
      <c r="M10" s="310"/>
      <c r="N10" s="310"/>
      <c r="O10" s="310"/>
      <c r="P10" s="311"/>
    </row>
    <row r="11" spans="1:16" x14ac:dyDescent="0.3">
      <c r="A11" s="233" t="s">
        <v>10</v>
      </c>
      <c r="B11" s="233" t="s">
        <v>11</v>
      </c>
      <c r="C11" s="233" t="s">
        <v>12</v>
      </c>
      <c r="D11" s="233" t="s">
        <v>13</v>
      </c>
      <c r="E11" s="233" t="s">
        <v>14</v>
      </c>
      <c r="F11" s="233" t="s">
        <v>15</v>
      </c>
      <c r="G11" s="233" t="s">
        <v>16</v>
      </c>
      <c r="H11" s="233" t="s">
        <v>17</v>
      </c>
      <c r="I11" s="233" t="s">
        <v>18</v>
      </c>
      <c r="J11" s="233" t="s">
        <v>19</v>
      </c>
      <c r="K11" s="233" t="s">
        <v>20</v>
      </c>
      <c r="L11" s="233" t="s">
        <v>407</v>
      </c>
      <c r="M11" s="233" t="s">
        <v>314</v>
      </c>
      <c r="N11" s="233" t="s">
        <v>408</v>
      </c>
      <c r="O11" s="233" t="s">
        <v>409</v>
      </c>
      <c r="P11" s="233" t="s">
        <v>410</v>
      </c>
    </row>
    <row r="12" spans="1:16" x14ac:dyDescent="0.3">
      <c r="A12" s="241"/>
      <c r="B12" s="241"/>
      <c r="C12" s="241"/>
      <c r="D12" s="241"/>
      <c r="E12" s="241"/>
      <c r="F12" s="241"/>
      <c r="G12" s="6" t="s">
        <v>25</v>
      </c>
      <c r="H12" s="241"/>
      <c r="I12" s="241"/>
      <c r="J12" s="241"/>
      <c r="K12" s="7"/>
      <c r="L12" s="241"/>
      <c r="M12" s="241" t="s">
        <v>25</v>
      </c>
      <c r="N12" s="241"/>
      <c r="O12" s="241"/>
      <c r="P12" s="241"/>
    </row>
    <row r="13" spans="1:16" x14ac:dyDescent="0.3">
      <c r="A13" s="87"/>
      <c r="B13" s="87"/>
      <c r="C13" s="87"/>
      <c r="D13" s="87"/>
      <c r="E13" s="87"/>
      <c r="F13" s="87"/>
      <c r="G13" s="88"/>
      <c r="H13" s="87"/>
      <c r="I13" s="87"/>
      <c r="J13" s="87"/>
      <c r="K13" s="105"/>
      <c r="L13" s="87"/>
      <c r="M13" s="87"/>
      <c r="N13" s="87"/>
      <c r="O13" s="87"/>
      <c r="P13" s="87"/>
    </row>
    <row r="14" spans="1:16" ht="14.65" customHeight="1" x14ac:dyDescent="0.35">
      <c r="A14" s="319" t="s">
        <v>36</v>
      </c>
      <c r="B14" s="303"/>
      <c r="C14" s="303"/>
      <c r="D14" s="303"/>
      <c r="E14" s="304"/>
      <c r="F14" s="152" t="s">
        <v>416</v>
      </c>
      <c r="G14" s="88"/>
      <c r="H14" s="87"/>
      <c r="I14" s="87"/>
      <c r="J14" s="87"/>
      <c r="K14" s="106"/>
      <c r="L14" s="87"/>
      <c r="M14" s="87"/>
      <c r="N14" s="87"/>
      <c r="O14" s="87"/>
      <c r="P14" s="87"/>
    </row>
    <row r="15" spans="1:16" x14ac:dyDescent="0.3">
      <c r="A15" s="8" t="s">
        <v>13</v>
      </c>
      <c r="B15" s="8" t="s">
        <v>14</v>
      </c>
      <c r="C15" s="8" t="s">
        <v>15</v>
      </c>
      <c r="D15" s="8" t="s">
        <v>16</v>
      </c>
      <c r="E15" s="8" t="s">
        <v>176</v>
      </c>
      <c r="F15" s="8" t="s">
        <v>417</v>
      </c>
      <c r="G15" s="87"/>
      <c r="H15" s="88"/>
      <c r="I15" s="87"/>
      <c r="J15" s="87"/>
      <c r="K15" s="87"/>
      <c r="L15" s="87"/>
      <c r="M15" s="87"/>
      <c r="N15" s="87"/>
      <c r="O15" s="87"/>
      <c r="P15" s="87"/>
    </row>
    <row r="16" spans="1:16" x14ac:dyDescent="0.3">
      <c r="A16" s="241">
        <v>0</v>
      </c>
      <c r="B16" s="241"/>
      <c r="C16" s="241"/>
      <c r="D16" s="241" t="s">
        <v>25</v>
      </c>
      <c r="E16" s="241" t="s">
        <v>422</v>
      </c>
      <c r="F16" s="152"/>
      <c r="G16" s="87"/>
      <c r="H16" s="88"/>
      <c r="I16" s="87"/>
      <c r="J16" s="87"/>
      <c r="K16" s="87"/>
      <c r="L16" s="87"/>
      <c r="M16" s="87"/>
      <c r="N16" s="87"/>
      <c r="O16" s="87"/>
      <c r="P16" s="87"/>
    </row>
    <row r="17" spans="1:16" ht="13.4" customHeight="1" thickBot="1" x14ac:dyDescent="0.35">
      <c r="A17" s="9"/>
      <c r="B17" s="9"/>
      <c r="C17" s="9"/>
      <c r="D17" s="9"/>
      <c r="E17" s="9"/>
      <c r="F17" s="9"/>
      <c r="G17" s="9"/>
      <c r="H17" s="9"/>
      <c r="I17" s="9"/>
      <c r="J17" s="9"/>
      <c r="K17" s="9"/>
      <c r="L17" s="9"/>
      <c r="M17" s="9"/>
      <c r="N17" s="9"/>
      <c r="O17" s="9"/>
      <c r="P17" s="9"/>
    </row>
    <row r="18" spans="1:16" ht="13.4" customHeight="1" thickTop="1" x14ac:dyDescent="0.3"/>
    <row r="19" spans="1:16" x14ac:dyDescent="0.3">
      <c r="A19" s="107" t="s">
        <v>423</v>
      </c>
      <c r="B19" s="107" t="s">
        <v>408</v>
      </c>
      <c r="C19" s="107" t="s">
        <v>409</v>
      </c>
    </row>
    <row r="20" spans="1:16" x14ac:dyDescent="0.3">
      <c r="A20" s="108" t="s">
        <v>25</v>
      </c>
      <c r="B20" s="119" t="s">
        <v>414</v>
      </c>
      <c r="C20" s="109" t="s">
        <v>424</v>
      </c>
    </row>
    <row r="21" spans="1:16" x14ac:dyDescent="0.3">
      <c r="A21" s="119" t="s">
        <v>425</v>
      </c>
      <c r="B21" s="119" t="s">
        <v>426</v>
      </c>
      <c r="C21" s="109" t="s">
        <v>427</v>
      </c>
    </row>
    <row r="22" spans="1:16" x14ac:dyDescent="0.3">
      <c r="A22" s="119" t="s">
        <v>428</v>
      </c>
      <c r="B22" s="119" t="s">
        <v>429</v>
      </c>
      <c r="C22" s="109" t="s">
        <v>430</v>
      </c>
    </row>
    <row r="23" spans="1:16" x14ac:dyDescent="0.3">
      <c r="A23" s="119" t="s">
        <v>431</v>
      </c>
      <c r="B23" s="119" t="s">
        <v>432</v>
      </c>
      <c r="C23" s="109" t="s">
        <v>433</v>
      </c>
    </row>
    <row r="24" spans="1:16" x14ac:dyDescent="0.3">
      <c r="A24" s="119" t="s">
        <v>434</v>
      </c>
      <c r="B24" s="119" t="s">
        <v>435</v>
      </c>
      <c r="C24" s="109" t="s">
        <v>415</v>
      </c>
    </row>
    <row r="25" spans="1:16" x14ac:dyDescent="0.3">
      <c r="A25" s="119" t="s">
        <v>436</v>
      </c>
      <c r="B25" s="119" t="s">
        <v>437</v>
      </c>
    </row>
    <row r="26" spans="1:16" x14ac:dyDescent="0.3">
      <c r="A26" s="119" t="s">
        <v>438</v>
      </c>
      <c r="B26" s="119" t="s">
        <v>439</v>
      </c>
    </row>
    <row r="27" spans="1:16" x14ac:dyDescent="0.3">
      <c r="A27" s="119" t="s">
        <v>440</v>
      </c>
      <c r="B27" s="119" t="s">
        <v>441</v>
      </c>
    </row>
    <row r="28" spans="1:16" x14ac:dyDescent="0.3">
      <c r="A28" s="119" t="s">
        <v>442</v>
      </c>
      <c r="B28" s="119" t="s">
        <v>443</v>
      </c>
    </row>
    <row r="29" spans="1:16" x14ac:dyDescent="0.3">
      <c r="A29" s="119" t="s">
        <v>444</v>
      </c>
      <c r="B29" s="119" t="s">
        <v>445</v>
      </c>
    </row>
    <row r="30" spans="1:16" x14ac:dyDescent="0.3">
      <c r="A30" s="119" t="s">
        <v>446</v>
      </c>
      <c r="B30" s="119" t="s">
        <v>447</v>
      </c>
    </row>
    <row r="31" spans="1:16" x14ac:dyDescent="0.3">
      <c r="A31" s="119" t="s">
        <v>448</v>
      </c>
      <c r="B31" s="119" t="s">
        <v>449</v>
      </c>
    </row>
    <row r="32" spans="1:16" x14ac:dyDescent="0.3">
      <c r="A32" s="119" t="s">
        <v>450</v>
      </c>
      <c r="B32" s="119" t="s">
        <v>451</v>
      </c>
    </row>
    <row r="33" spans="1:2" x14ac:dyDescent="0.3">
      <c r="A33" s="119" t="s">
        <v>452</v>
      </c>
      <c r="B33" s="119" t="s">
        <v>453</v>
      </c>
    </row>
    <row r="34" spans="1:2" x14ac:dyDescent="0.3">
      <c r="A34" s="119" t="s">
        <v>454</v>
      </c>
    </row>
    <row r="35" spans="1:2" x14ac:dyDescent="0.3">
      <c r="A35" s="119" t="s">
        <v>455</v>
      </c>
    </row>
    <row r="36" spans="1:2" x14ac:dyDescent="0.3">
      <c r="A36" s="119" t="s">
        <v>456</v>
      </c>
    </row>
    <row r="37" spans="1:2" x14ac:dyDescent="0.3">
      <c r="A37" s="119" t="s">
        <v>457</v>
      </c>
    </row>
    <row r="38" spans="1:2" x14ac:dyDescent="0.3">
      <c r="A38" s="119" t="s">
        <v>458</v>
      </c>
    </row>
    <row r="39" spans="1:2" x14ac:dyDescent="0.3">
      <c r="A39" s="119" t="s">
        <v>459</v>
      </c>
    </row>
    <row r="40" spans="1:2" x14ac:dyDescent="0.3">
      <c r="A40" s="119" t="s">
        <v>460</v>
      </c>
    </row>
    <row r="41" spans="1:2" x14ac:dyDescent="0.3">
      <c r="A41" s="119" t="s">
        <v>461</v>
      </c>
    </row>
    <row r="42" spans="1:2" x14ac:dyDescent="0.3">
      <c r="A42" s="119" t="s">
        <v>462</v>
      </c>
    </row>
    <row r="43" spans="1:2" x14ac:dyDescent="0.3">
      <c r="A43" s="119" t="s">
        <v>463</v>
      </c>
    </row>
    <row r="44" spans="1:2" x14ac:dyDescent="0.3">
      <c r="A44" s="119" t="s">
        <v>464</v>
      </c>
    </row>
    <row r="45" spans="1:2" x14ac:dyDescent="0.3">
      <c r="A45" s="119" t="s">
        <v>465</v>
      </c>
    </row>
    <row r="46" spans="1:2" x14ac:dyDescent="0.3">
      <c r="A46" s="119" t="s">
        <v>466</v>
      </c>
    </row>
    <row r="47" spans="1:2" x14ac:dyDescent="0.3">
      <c r="A47" s="119" t="s">
        <v>467</v>
      </c>
    </row>
    <row r="48" spans="1:2" x14ac:dyDescent="0.3">
      <c r="A48" s="119" t="s">
        <v>468</v>
      </c>
    </row>
    <row r="49" spans="1:1" x14ac:dyDescent="0.3">
      <c r="A49" s="119" t="s">
        <v>469</v>
      </c>
    </row>
    <row r="50" spans="1:1" x14ac:dyDescent="0.3">
      <c r="A50" s="119" t="s">
        <v>470</v>
      </c>
    </row>
    <row r="51" spans="1:1" x14ac:dyDescent="0.3">
      <c r="A51" s="119" t="s">
        <v>471</v>
      </c>
    </row>
    <row r="52" spans="1:1" x14ac:dyDescent="0.3">
      <c r="A52" s="119" t="s">
        <v>472</v>
      </c>
    </row>
    <row r="53" spans="1:1" x14ac:dyDescent="0.3">
      <c r="A53" s="119" t="s">
        <v>473</v>
      </c>
    </row>
    <row r="54" spans="1:1" x14ac:dyDescent="0.3">
      <c r="A54" s="119" t="s">
        <v>474</v>
      </c>
    </row>
    <row r="55" spans="1:1" x14ac:dyDescent="0.3">
      <c r="A55" s="119" t="s">
        <v>475</v>
      </c>
    </row>
    <row r="56" spans="1:1" x14ac:dyDescent="0.3">
      <c r="A56" s="119" t="s">
        <v>476</v>
      </c>
    </row>
    <row r="57" spans="1:1" x14ac:dyDescent="0.3">
      <c r="A57" s="119" t="s">
        <v>477</v>
      </c>
    </row>
    <row r="58" spans="1:1" x14ac:dyDescent="0.3">
      <c r="A58" s="119" t="s">
        <v>343</v>
      </c>
    </row>
    <row r="59" spans="1:1" x14ac:dyDescent="0.3">
      <c r="A59" s="119" t="s">
        <v>478</v>
      </c>
    </row>
    <row r="60" spans="1:1" x14ac:dyDescent="0.3">
      <c r="A60" s="119" t="s">
        <v>479</v>
      </c>
    </row>
    <row r="61" spans="1:1" x14ac:dyDescent="0.3">
      <c r="A61" s="119" t="s">
        <v>480</v>
      </c>
    </row>
    <row r="62" spans="1:1" x14ac:dyDescent="0.3">
      <c r="A62" s="119" t="s">
        <v>481</v>
      </c>
    </row>
    <row r="63" spans="1:1" x14ac:dyDescent="0.3">
      <c r="A63" s="119" t="s">
        <v>482</v>
      </c>
    </row>
    <row r="64" spans="1:1" x14ac:dyDescent="0.3">
      <c r="A64" s="119" t="s">
        <v>483</v>
      </c>
    </row>
    <row r="65" spans="1:1" x14ac:dyDescent="0.3">
      <c r="A65" s="119" t="s">
        <v>484</v>
      </c>
    </row>
    <row r="66" spans="1:1" x14ac:dyDescent="0.3">
      <c r="A66" s="119" t="s">
        <v>485</v>
      </c>
    </row>
    <row r="67" spans="1:1" x14ac:dyDescent="0.3">
      <c r="A67" s="119" t="s">
        <v>486</v>
      </c>
    </row>
    <row r="68" spans="1:1" x14ac:dyDescent="0.3">
      <c r="A68" s="119" t="s">
        <v>487</v>
      </c>
    </row>
    <row r="69" spans="1:1" x14ac:dyDescent="0.3">
      <c r="A69" s="119" t="s">
        <v>488</v>
      </c>
    </row>
    <row r="70" spans="1:1" x14ac:dyDescent="0.3">
      <c r="A70" s="119" t="s">
        <v>489</v>
      </c>
    </row>
    <row r="71" spans="1:1" x14ac:dyDescent="0.3">
      <c r="A71" s="119" t="s">
        <v>490</v>
      </c>
    </row>
    <row r="72" spans="1:1" x14ac:dyDescent="0.3">
      <c r="A72" s="119" t="s">
        <v>491</v>
      </c>
    </row>
    <row r="73" spans="1:1" x14ac:dyDescent="0.3">
      <c r="A73" s="119" t="s">
        <v>492</v>
      </c>
    </row>
    <row r="74" spans="1:1" x14ac:dyDescent="0.3">
      <c r="A74" s="119" t="s">
        <v>493</v>
      </c>
    </row>
    <row r="75" spans="1:1" x14ac:dyDescent="0.3">
      <c r="A75" s="119" t="s">
        <v>494</v>
      </c>
    </row>
    <row r="76" spans="1:1" x14ac:dyDescent="0.3">
      <c r="A76" s="119" t="s">
        <v>495</v>
      </c>
    </row>
    <row r="77" spans="1:1" x14ac:dyDescent="0.3">
      <c r="A77" s="119" t="s">
        <v>496</v>
      </c>
    </row>
    <row r="78" spans="1:1" x14ac:dyDescent="0.3">
      <c r="A78" s="119" t="s">
        <v>497</v>
      </c>
    </row>
    <row r="79" spans="1:1" x14ac:dyDescent="0.3">
      <c r="A79" s="119" t="s">
        <v>498</v>
      </c>
    </row>
    <row r="80" spans="1:1" x14ac:dyDescent="0.3">
      <c r="A80" s="119" t="s">
        <v>499</v>
      </c>
    </row>
    <row r="81" spans="1:1" x14ac:dyDescent="0.3">
      <c r="A81" s="119" t="s">
        <v>500</v>
      </c>
    </row>
    <row r="82" spans="1:1" x14ac:dyDescent="0.3">
      <c r="A82" s="119" t="s">
        <v>501</v>
      </c>
    </row>
    <row r="83" spans="1:1" x14ac:dyDescent="0.3">
      <c r="A83" s="119" t="s">
        <v>502</v>
      </c>
    </row>
    <row r="84" spans="1:1" x14ac:dyDescent="0.3">
      <c r="A84" s="119" t="s">
        <v>503</v>
      </c>
    </row>
    <row r="85" spans="1:1" x14ac:dyDescent="0.3">
      <c r="A85" s="119" t="s">
        <v>504</v>
      </c>
    </row>
    <row r="86" spans="1:1" x14ac:dyDescent="0.3">
      <c r="A86" s="119" t="s">
        <v>505</v>
      </c>
    </row>
    <row r="87" spans="1:1" x14ac:dyDescent="0.3">
      <c r="A87" s="119" t="s">
        <v>506</v>
      </c>
    </row>
    <row r="88" spans="1:1" x14ac:dyDescent="0.3">
      <c r="A88" s="119" t="s">
        <v>507</v>
      </c>
    </row>
    <row r="89" spans="1:1" x14ac:dyDescent="0.3">
      <c r="A89" s="119" t="s">
        <v>508</v>
      </c>
    </row>
    <row r="90" spans="1:1" x14ac:dyDescent="0.3">
      <c r="A90" s="119" t="s">
        <v>509</v>
      </c>
    </row>
    <row r="91" spans="1:1" x14ac:dyDescent="0.3">
      <c r="A91" s="119" t="s">
        <v>510</v>
      </c>
    </row>
    <row r="92" spans="1:1" x14ac:dyDescent="0.3">
      <c r="A92" s="119" t="s">
        <v>511</v>
      </c>
    </row>
    <row r="93" spans="1:1" x14ac:dyDescent="0.3">
      <c r="A93" s="119" t="s">
        <v>512</v>
      </c>
    </row>
    <row r="94" spans="1:1" x14ac:dyDescent="0.3">
      <c r="A94" s="119" t="s">
        <v>513</v>
      </c>
    </row>
    <row r="95" spans="1:1" x14ac:dyDescent="0.3">
      <c r="A95" s="119" t="s">
        <v>514</v>
      </c>
    </row>
    <row r="96" spans="1:1" x14ac:dyDescent="0.3">
      <c r="A96" s="119" t="s">
        <v>515</v>
      </c>
    </row>
    <row r="97" spans="1:1" x14ac:dyDescent="0.3">
      <c r="A97" s="119" t="s">
        <v>516</v>
      </c>
    </row>
    <row r="98" spans="1:1" x14ac:dyDescent="0.3">
      <c r="A98" s="119" t="s">
        <v>517</v>
      </c>
    </row>
    <row r="99" spans="1:1" x14ac:dyDescent="0.3">
      <c r="A99" s="119" t="s">
        <v>518</v>
      </c>
    </row>
    <row r="100" spans="1:1" x14ac:dyDescent="0.3">
      <c r="A100" s="119" t="s">
        <v>519</v>
      </c>
    </row>
    <row r="101" spans="1:1" x14ac:dyDescent="0.3">
      <c r="A101" s="119" t="s">
        <v>520</v>
      </c>
    </row>
    <row r="102" spans="1:1" x14ac:dyDescent="0.3">
      <c r="A102" s="119" t="s">
        <v>521</v>
      </c>
    </row>
    <row r="103" spans="1:1" x14ac:dyDescent="0.3">
      <c r="A103" s="119" t="s">
        <v>522</v>
      </c>
    </row>
    <row r="104" spans="1:1" x14ac:dyDescent="0.3">
      <c r="A104" s="119" t="s">
        <v>523</v>
      </c>
    </row>
    <row r="105" spans="1:1" x14ac:dyDescent="0.3">
      <c r="A105" s="119" t="s">
        <v>524</v>
      </c>
    </row>
    <row r="106" spans="1:1" x14ac:dyDescent="0.3">
      <c r="A106" s="119" t="s">
        <v>525</v>
      </c>
    </row>
    <row r="107" spans="1:1" x14ac:dyDescent="0.3">
      <c r="A107" s="119" t="s">
        <v>526</v>
      </c>
    </row>
    <row r="108" spans="1:1" x14ac:dyDescent="0.3">
      <c r="A108" s="119" t="s">
        <v>527</v>
      </c>
    </row>
    <row r="109" spans="1:1" x14ac:dyDescent="0.3">
      <c r="A109" s="119" t="s">
        <v>528</v>
      </c>
    </row>
    <row r="110" spans="1:1" x14ac:dyDescent="0.3">
      <c r="A110" s="119" t="s">
        <v>529</v>
      </c>
    </row>
    <row r="111" spans="1:1" x14ac:dyDescent="0.3">
      <c r="A111" s="119" t="s">
        <v>530</v>
      </c>
    </row>
    <row r="112" spans="1:1" x14ac:dyDescent="0.3">
      <c r="A112" s="119" t="s">
        <v>531</v>
      </c>
    </row>
    <row r="113" spans="1:1" x14ac:dyDescent="0.3">
      <c r="A113" s="119" t="s">
        <v>532</v>
      </c>
    </row>
    <row r="114" spans="1:1" x14ac:dyDescent="0.3">
      <c r="A114" s="119" t="s">
        <v>533</v>
      </c>
    </row>
    <row r="115" spans="1:1" x14ac:dyDescent="0.3">
      <c r="A115" s="119" t="s">
        <v>534</v>
      </c>
    </row>
    <row r="116" spans="1:1" x14ac:dyDescent="0.3">
      <c r="A116" s="119" t="s">
        <v>535</v>
      </c>
    </row>
    <row r="117" spans="1:1" x14ac:dyDescent="0.3">
      <c r="A117" s="119" t="s">
        <v>536</v>
      </c>
    </row>
    <row r="118" spans="1:1" x14ac:dyDescent="0.3">
      <c r="A118" s="119" t="s">
        <v>537</v>
      </c>
    </row>
    <row r="119" spans="1:1" x14ac:dyDescent="0.3">
      <c r="A119" s="119" t="s">
        <v>538</v>
      </c>
    </row>
    <row r="120" spans="1:1" x14ac:dyDescent="0.3">
      <c r="A120" s="119" t="s">
        <v>539</v>
      </c>
    </row>
    <row r="121" spans="1:1" x14ac:dyDescent="0.3">
      <c r="A121" s="119" t="s">
        <v>540</v>
      </c>
    </row>
    <row r="122" spans="1:1" x14ac:dyDescent="0.3">
      <c r="A122" s="119" t="s">
        <v>541</v>
      </c>
    </row>
    <row r="123" spans="1:1" x14ac:dyDescent="0.3">
      <c r="A123" s="119" t="s">
        <v>542</v>
      </c>
    </row>
    <row r="124" spans="1:1" x14ac:dyDescent="0.3">
      <c r="A124" s="119" t="s">
        <v>543</v>
      </c>
    </row>
    <row r="125" spans="1:1" x14ac:dyDescent="0.3">
      <c r="A125" s="119" t="s">
        <v>544</v>
      </c>
    </row>
    <row r="126" spans="1:1" x14ac:dyDescent="0.3">
      <c r="A126" s="119" t="s">
        <v>545</v>
      </c>
    </row>
    <row r="127" spans="1:1" x14ac:dyDescent="0.3">
      <c r="A127" s="119" t="s">
        <v>546</v>
      </c>
    </row>
    <row r="128" spans="1:1" x14ac:dyDescent="0.3">
      <c r="A128" s="119" t="s">
        <v>547</v>
      </c>
    </row>
    <row r="129" spans="1:1" x14ac:dyDescent="0.3">
      <c r="A129" s="119" t="s">
        <v>548</v>
      </c>
    </row>
    <row r="130" spans="1:1" x14ac:dyDescent="0.3">
      <c r="A130" s="119" t="s">
        <v>549</v>
      </c>
    </row>
    <row r="131" spans="1:1" x14ac:dyDescent="0.3">
      <c r="A131" s="119" t="s">
        <v>550</v>
      </c>
    </row>
    <row r="132" spans="1:1" x14ac:dyDescent="0.3">
      <c r="A132" s="119" t="s">
        <v>551</v>
      </c>
    </row>
    <row r="133" spans="1:1" x14ac:dyDescent="0.3">
      <c r="A133" s="119" t="s">
        <v>552</v>
      </c>
    </row>
    <row r="134" spans="1:1" x14ac:dyDescent="0.3">
      <c r="A134" s="119" t="s">
        <v>553</v>
      </c>
    </row>
    <row r="135" spans="1:1" x14ac:dyDescent="0.3">
      <c r="A135" s="119" t="s">
        <v>554</v>
      </c>
    </row>
    <row r="136" spans="1:1" x14ac:dyDescent="0.3">
      <c r="A136" s="119" t="s">
        <v>555</v>
      </c>
    </row>
    <row r="137" spans="1:1" x14ac:dyDescent="0.3">
      <c r="A137" s="119" t="s">
        <v>556</v>
      </c>
    </row>
    <row r="138" spans="1:1" x14ac:dyDescent="0.3">
      <c r="A138" s="119" t="s">
        <v>557</v>
      </c>
    </row>
    <row r="139" spans="1:1" x14ac:dyDescent="0.3">
      <c r="A139" s="119" t="s">
        <v>558</v>
      </c>
    </row>
    <row r="140" spans="1:1" x14ac:dyDescent="0.3">
      <c r="A140" s="119" t="s">
        <v>559</v>
      </c>
    </row>
    <row r="141" spans="1:1" x14ac:dyDescent="0.3">
      <c r="A141" s="119" t="s">
        <v>319</v>
      </c>
    </row>
    <row r="142" spans="1:1" x14ac:dyDescent="0.3">
      <c r="A142" s="119" t="s">
        <v>560</v>
      </c>
    </row>
    <row r="143" spans="1:1" x14ac:dyDescent="0.3">
      <c r="A143" s="119" t="s">
        <v>561</v>
      </c>
    </row>
    <row r="144" spans="1:1" x14ac:dyDescent="0.3">
      <c r="A144" s="119" t="s">
        <v>562</v>
      </c>
    </row>
    <row r="145" spans="1:1" x14ac:dyDescent="0.3">
      <c r="A145" s="119" t="s">
        <v>563</v>
      </c>
    </row>
    <row r="146" spans="1:1" x14ac:dyDescent="0.3">
      <c r="A146" s="119" t="s">
        <v>564</v>
      </c>
    </row>
    <row r="147" spans="1:1" x14ac:dyDescent="0.3">
      <c r="A147" s="119" t="s">
        <v>565</v>
      </c>
    </row>
    <row r="148" spans="1:1" x14ac:dyDescent="0.3">
      <c r="A148" s="119" t="s">
        <v>566</v>
      </c>
    </row>
    <row r="149" spans="1:1" x14ac:dyDescent="0.3">
      <c r="A149" s="119" t="s">
        <v>567</v>
      </c>
    </row>
    <row r="150" spans="1:1" x14ac:dyDescent="0.3">
      <c r="A150" s="119" t="s">
        <v>568</v>
      </c>
    </row>
    <row r="151" spans="1:1" x14ac:dyDescent="0.3">
      <c r="A151" s="119" t="s">
        <v>569</v>
      </c>
    </row>
    <row r="152" spans="1:1" x14ac:dyDescent="0.3">
      <c r="A152" s="119" t="s">
        <v>570</v>
      </c>
    </row>
    <row r="153" spans="1:1" x14ac:dyDescent="0.3">
      <c r="A153" s="119" t="s">
        <v>571</v>
      </c>
    </row>
    <row r="154" spans="1:1" x14ac:dyDescent="0.3">
      <c r="A154" s="119" t="s">
        <v>572</v>
      </c>
    </row>
    <row r="155" spans="1:1" x14ac:dyDescent="0.3">
      <c r="A155" s="119" t="s">
        <v>573</v>
      </c>
    </row>
    <row r="156" spans="1:1" x14ac:dyDescent="0.3">
      <c r="A156" s="119" t="s">
        <v>574</v>
      </c>
    </row>
    <row r="157" spans="1:1" x14ac:dyDescent="0.3">
      <c r="A157" s="119" t="s">
        <v>575</v>
      </c>
    </row>
    <row r="158" spans="1:1" x14ac:dyDescent="0.3">
      <c r="A158" s="119" t="s">
        <v>576</v>
      </c>
    </row>
    <row r="159" spans="1:1" x14ac:dyDescent="0.3">
      <c r="A159" s="119" t="s">
        <v>577</v>
      </c>
    </row>
    <row r="160" spans="1:1" x14ac:dyDescent="0.3">
      <c r="A160" s="119" t="s">
        <v>578</v>
      </c>
    </row>
    <row r="161" spans="1:1" x14ac:dyDescent="0.3">
      <c r="A161" s="119" t="s">
        <v>579</v>
      </c>
    </row>
    <row r="162" spans="1:1" x14ac:dyDescent="0.3">
      <c r="A162" s="119" t="s">
        <v>580</v>
      </c>
    </row>
    <row r="163" spans="1:1" x14ac:dyDescent="0.3">
      <c r="A163" s="119" t="s">
        <v>581</v>
      </c>
    </row>
    <row r="164" spans="1:1" x14ac:dyDescent="0.3">
      <c r="A164" s="119" t="s">
        <v>582</v>
      </c>
    </row>
    <row r="165" spans="1:1" x14ac:dyDescent="0.3">
      <c r="A165" s="119" t="s">
        <v>583</v>
      </c>
    </row>
    <row r="166" spans="1:1" x14ac:dyDescent="0.3">
      <c r="A166" s="119" t="s">
        <v>584</v>
      </c>
    </row>
    <row r="167" spans="1:1" x14ac:dyDescent="0.3">
      <c r="A167" s="119" t="s">
        <v>585</v>
      </c>
    </row>
    <row r="168" spans="1:1" x14ac:dyDescent="0.3">
      <c r="A168" s="119" t="s">
        <v>586</v>
      </c>
    </row>
    <row r="169" spans="1:1" x14ac:dyDescent="0.3">
      <c r="A169" s="119" t="s">
        <v>587</v>
      </c>
    </row>
    <row r="170" spans="1:1" x14ac:dyDescent="0.3">
      <c r="A170" s="119" t="s">
        <v>588</v>
      </c>
    </row>
  </sheetData>
  <mergeCells count="4">
    <mergeCell ref="A1:P1"/>
    <mergeCell ref="A5:E5"/>
    <mergeCell ref="A10:P10"/>
    <mergeCell ref="A14:E14"/>
  </mergeCells>
  <dataValidations count="12">
    <dataValidation type="list" allowBlank="1" showInputMessage="1" showErrorMessage="1" sqref="G3 H15:H16 H4:H7 G12:G14 D7 G6" xr:uid="{00000000-0002-0000-0700-000000000000}">
      <formula1>"Yes,'---"</formula1>
    </dataValidation>
    <dataValidation type="date" operator="greaterThan" allowBlank="1" showInputMessage="1" showErrorMessage="1" sqref="K3:L3 K12:L14 M13:P14" xr:uid="{00000000-0002-0000-0700-000001000000}">
      <formula1>36526</formula1>
    </dataValidation>
    <dataValidation allowBlank="1" showInputMessage="1" showErrorMessage="1" promptTitle="Engine Port Setting" prompt="This is the remote port that you are trying to connect to" sqref="C3 O2 D12:D13 P11 P13:P14" xr:uid="{00000000-0002-0000-0700-000002000000}"/>
    <dataValidation allowBlank="1" showInputMessage="1" showErrorMessage="1" promptTitle="Engine IP Address" prompt="IP address of the machine that the Engine is running on" sqref="B3 N2 O11 C12:C13" xr:uid="{00000000-0002-0000-0700-000003000000}"/>
    <dataValidation operator="greaterThan" allowBlank="1" showInputMessage="1" showErrorMessage="1" sqref="P3 P12" xr:uid="{00000000-0002-0000-0700-000004000000}"/>
    <dataValidation type="list" allowBlank="1" showInputMessage="1" showErrorMessage="1" sqref="M13:M14" xr:uid="{00000000-0002-0000-0700-000005000000}">
      <formula1>$A$20:$A$170</formula1>
    </dataValidation>
    <dataValidation type="list" allowBlank="1" showInputMessage="1" showErrorMessage="1" promptTitle="Engine IP Address" prompt="IP address of the machine that the Engine is running on" sqref="N3 N12:N14" xr:uid="{00000000-0002-0000-0700-000006000000}">
      <formula1>$B$20:$B$33</formula1>
    </dataValidation>
    <dataValidation type="list" allowBlank="1" showInputMessage="1" showErrorMessage="1" promptTitle="Engine Port Setting" prompt="This is the remote port that you are trying to connect to" sqref="O3 O12:O14" xr:uid="{00000000-0002-0000-0700-000007000000}">
      <formula1>$C$20:$C$24</formula1>
    </dataValidation>
    <dataValidation type="list" operator="greaterThan" allowBlank="1" showInputMessage="1" showErrorMessage="1" sqref="O3 O12" xr:uid="{00000000-0002-0000-0700-000008000000}">
      <formula1>$C$20:$C$24</formula1>
    </dataValidation>
    <dataValidation type="list" operator="greaterThan" allowBlank="1" showInputMessage="1" showErrorMessage="1" sqref="N3 N12" xr:uid="{00000000-0002-0000-0700-000009000000}">
      <formula1>$B$20:$B$33</formula1>
    </dataValidation>
    <dataValidation type="list" allowBlank="1" showInputMessage="1" showErrorMessage="1" promptTitle="Engine IP Address" prompt="IP address of the machine that the Engine is running on" sqref="M3 M12" xr:uid="{00000000-0002-0000-0700-00000A000000}">
      <formula1>$A$20:$A$170</formula1>
    </dataValidation>
    <dataValidation type="list" operator="greaterThan" allowBlank="1" showInputMessage="1" showErrorMessage="1" sqref="M3 M12" xr:uid="{00000000-0002-0000-0700-00000B000000}">
      <formula1>$B$20:$B$170</formula1>
    </dataValidation>
  </dataValidation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915C-8B09-4E60-A9B2-D9D1A31FB9AC}">
  <sheetPr codeName="Sheet9"/>
  <dimension ref="A1:AB33"/>
  <sheetViews>
    <sheetView tabSelected="1" zoomScaleNormal="100" workbookViewId="0">
      <selection activeCell="O7" sqref="O7"/>
    </sheetView>
  </sheetViews>
  <sheetFormatPr defaultColWidth="8.7265625" defaultRowHeight="13" x14ac:dyDescent="0.3"/>
  <cols>
    <col min="1" max="1" width="13.26953125" style="119" bestFit="1" customWidth="1"/>
    <col min="2" max="2" width="19.54296875" style="119" bestFit="1" customWidth="1"/>
    <col min="3" max="3" width="16.453125" style="119" bestFit="1" customWidth="1"/>
    <col min="4" max="4" width="11.81640625" style="119" bestFit="1" customWidth="1"/>
    <col min="5" max="5" width="13.6328125" style="119" customWidth="1"/>
    <col min="6" max="6" width="20.54296875" style="119" customWidth="1"/>
    <col min="7" max="7" width="15.6328125" style="119" customWidth="1"/>
    <col min="8" max="8" width="27.6328125" style="119" bestFit="1" customWidth="1"/>
    <col min="9" max="9" width="28.36328125" style="119" customWidth="1"/>
    <col min="10" max="10" width="17.6328125" style="119" customWidth="1"/>
    <col min="11" max="11" width="27.6328125" style="119" bestFit="1" customWidth="1"/>
    <col min="12" max="12" width="19.90625" style="119" bestFit="1" customWidth="1"/>
    <col min="13" max="13" width="12" style="119" customWidth="1"/>
    <col min="14" max="14" width="22.36328125" style="119" customWidth="1"/>
    <col min="15" max="15" width="21.08984375" style="119" customWidth="1"/>
    <col min="16" max="16" width="19.90625" style="119" bestFit="1" customWidth="1"/>
    <col min="17" max="17" width="12.7265625" style="119" bestFit="1" customWidth="1"/>
    <col min="18" max="18" width="12.7265625" style="119" customWidth="1"/>
    <col min="19" max="19" width="4.1796875" style="119" customWidth="1"/>
    <col min="20" max="20" width="15.08984375" style="119" bestFit="1" customWidth="1"/>
    <col min="21" max="21" width="19.90625" style="110" bestFit="1" customWidth="1"/>
    <col min="22" max="22" width="13.08984375" style="110" customWidth="1"/>
    <col min="23" max="23" width="16.90625" style="110" customWidth="1"/>
    <col min="24" max="24" width="12.26953125" style="110" customWidth="1"/>
    <col min="25" max="25" width="11.6328125" style="110" bestFit="1" customWidth="1"/>
    <col min="26" max="16384" width="8.7265625" style="119"/>
  </cols>
  <sheetData>
    <row r="1" spans="1:28" ht="14.5" customHeight="1" x14ac:dyDescent="0.3">
      <c r="A1" s="323" t="s">
        <v>7</v>
      </c>
      <c r="B1" s="323"/>
      <c r="C1" s="323"/>
      <c r="D1" s="323"/>
      <c r="E1" s="323"/>
      <c r="F1" s="323"/>
      <c r="G1" s="323"/>
      <c r="H1" s="323"/>
      <c r="I1" s="323"/>
      <c r="J1" s="323"/>
      <c r="K1" s="323"/>
      <c r="L1" s="323"/>
      <c r="M1" s="323"/>
      <c r="N1" s="323"/>
      <c r="O1" s="323"/>
      <c r="P1" s="323"/>
      <c r="Q1" s="323"/>
      <c r="R1" s="323"/>
      <c r="S1" s="288"/>
    </row>
    <row r="2" spans="1:28" ht="14.65" customHeight="1" x14ac:dyDescent="0.3">
      <c r="A2" s="324"/>
      <c r="B2" s="324"/>
      <c r="C2" s="324"/>
      <c r="D2" s="324"/>
      <c r="E2" s="324"/>
      <c r="F2" s="324"/>
      <c r="G2" s="324"/>
      <c r="H2" s="324"/>
      <c r="I2" s="324"/>
      <c r="J2" s="324"/>
      <c r="K2" s="324"/>
      <c r="L2" s="324"/>
      <c r="M2" s="324"/>
      <c r="N2" s="324"/>
      <c r="O2" s="324"/>
      <c r="P2" s="324"/>
      <c r="Q2" s="324"/>
      <c r="R2" s="324"/>
      <c r="S2" s="288"/>
      <c r="T2" s="292"/>
      <c r="U2" s="290"/>
      <c r="V2" s="290"/>
      <c r="W2" s="290"/>
      <c r="X2" s="290"/>
      <c r="Y2" s="290"/>
      <c r="Z2" s="289"/>
    </row>
    <row r="3" spans="1:28" ht="14.5" x14ac:dyDescent="0.3">
      <c r="A3" s="276" t="s">
        <v>10</v>
      </c>
      <c r="B3" s="276" t="s">
        <v>11</v>
      </c>
      <c r="C3" s="276" t="s">
        <v>12</v>
      </c>
      <c r="D3" s="276" t="s">
        <v>13</v>
      </c>
      <c r="E3" s="276" t="s">
        <v>14</v>
      </c>
      <c r="F3" s="276" t="s">
        <v>15</v>
      </c>
      <c r="G3" s="276" t="s">
        <v>16</v>
      </c>
      <c r="H3" s="276" t="s">
        <v>17</v>
      </c>
      <c r="I3" s="276" t="s">
        <v>18</v>
      </c>
      <c r="J3" s="276" t="s">
        <v>19</v>
      </c>
      <c r="K3" s="276" t="s">
        <v>20</v>
      </c>
      <c r="L3" s="264" t="s">
        <v>974</v>
      </c>
      <c r="M3" s="264" t="s">
        <v>975</v>
      </c>
      <c r="N3" s="264" t="s">
        <v>978</v>
      </c>
      <c r="O3" s="264" t="s">
        <v>977</v>
      </c>
      <c r="P3" s="264" t="s">
        <v>980</v>
      </c>
      <c r="Q3" s="264" t="s">
        <v>979</v>
      </c>
      <c r="R3" s="264" t="s">
        <v>992</v>
      </c>
      <c r="S3" s="265"/>
      <c r="T3" s="289"/>
      <c r="U3" s="290"/>
      <c r="V3" s="290"/>
      <c r="W3" s="290"/>
      <c r="X3" s="290"/>
      <c r="Y3" s="290"/>
      <c r="Z3" s="289"/>
    </row>
    <row r="4" spans="1:28" ht="14.5" x14ac:dyDescent="0.3">
      <c r="A4" s="267" t="s">
        <v>966</v>
      </c>
      <c r="B4" s="267" t="s">
        <v>27</v>
      </c>
      <c r="C4" s="267">
        <v>0</v>
      </c>
      <c r="D4" s="267" t="s">
        <v>967</v>
      </c>
      <c r="E4" s="267" t="s">
        <v>967</v>
      </c>
      <c r="F4" s="267" t="s">
        <v>968</v>
      </c>
      <c r="G4" s="287" t="s">
        <v>25</v>
      </c>
      <c r="H4" s="267">
        <v>5423</v>
      </c>
      <c r="I4" s="267">
        <v>321</v>
      </c>
      <c r="J4" s="267">
        <v>432</v>
      </c>
      <c r="K4" s="277">
        <v>36892</v>
      </c>
      <c r="L4" s="274" t="s">
        <v>981</v>
      </c>
      <c r="M4" s="274" t="s">
        <v>982</v>
      </c>
      <c r="N4" s="259">
        <v>50</v>
      </c>
      <c r="O4" s="259" t="s">
        <v>983</v>
      </c>
      <c r="P4" s="259" t="s">
        <v>984</v>
      </c>
      <c r="Q4" s="269">
        <v>1</v>
      </c>
      <c r="R4" s="274">
        <v>0</v>
      </c>
      <c r="S4" s="265"/>
      <c r="T4" s="289"/>
      <c r="U4" s="290"/>
      <c r="V4" s="290"/>
      <c r="W4" s="290"/>
      <c r="X4" s="290"/>
      <c r="Y4" s="290"/>
      <c r="Z4" s="289"/>
    </row>
    <row r="5" spans="1:28" x14ac:dyDescent="0.3">
      <c r="A5" s="278"/>
      <c r="B5" s="265"/>
      <c r="C5" s="265"/>
      <c r="D5" s="265"/>
      <c r="E5" s="265"/>
      <c r="F5" s="266"/>
      <c r="G5" s="266"/>
      <c r="H5" s="279"/>
      <c r="I5" s="266"/>
      <c r="J5" s="266"/>
      <c r="K5" s="266"/>
      <c r="L5" s="265"/>
      <c r="M5" s="265"/>
      <c r="N5" s="265"/>
      <c r="O5" s="265"/>
      <c r="P5" s="265"/>
      <c r="Q5" s="265"/>
      <c r="R5" s="265"/>
      <c r="S5" s="301"/>
      <c r="T5" s="290"/>
      <c r="U5" s="290"/>
      <c r="V5" s="290"/>
      <c r="W5" s="290"/>
      <c r="X5" s="289"/>
      <c r="Y5" s="119"/>
    </row>
    <row r="6" spans="1:28" ht="14.65" customHeight="1" x14ac:dyDescent="0.3">
      <c r="A6" s="312" t="s">
        <v>36</v>
      </c>
      <c r="B6" s="312"/>
      <c r="C6" s="312"/>
      <c r="D6" s="312"/>
      <c r="E6" s="312"/>
      <c r="F6" s="312"/>
      <c r="G6" s="312"/>
      <c r="H6" s="312"/>
      <c r="I6" s="312"/>
      <c r="J6" s="312"/>
      <c r="K6" s="312"/>
      <c r="L6" s="312"/>
      <c r="M6" s="312"/>
      <c r="N6" s="312"/>
      <c r="O6" s="288"/>
      <c r="P6" s="288"/>
      <c r="Q6" s="288"/>
      <c r="R6" s="288"/>
      <c r="S6" s="288"/>
      <c r="T6" s="291"/>
      <c r="U6" s="291"/>
      <c r="V6" s="291"/>
      <c r="W6" s="291"/>
      <c r="X6" s="291"/>
      <c r="Y6" s="291"/>
      <c r="Z6" s="289"/>
    </row>
    <row r="7" spans="1:28" ht="14.5" x14ac:dyDescent="0.3">
      <c r="A7" s="250" t="s">
        <v>13</v>
      </c>
      <c r="B7" s="250" t="s">
        <v>14</v>
      </c>
      <c r="C7" s="250" t="s">
        <v>15</v>
      </c>
      <c r="D7" s="250" t="s">
        <v>16</v>
      </c>
      <c r="E7" s="264" t="s">
        <v>976</v>
      </c>
      <c r="F7" s="264" t="s">
        <v>993</v>
      </c>
      <c r="G7" s="264" t="s">
        <v>991</v>
      </c>
      <c r="H7" s="264" t="s">
        <v>990</v>
      </c>
      <c r="I7" s="276" t="s">
        <v>985</v>
      </c>
      <c r="J7" s="276" t="s">
        <v>986</v>
      </c>
      <c r="K7" s="276" t="s">
        <v>987</v>
      </c>
      <c r="L7" s="276" t="s">
        <v>988</v>
      </c>
      <c r="M7" s="276" t="s">
        <v>989</v>
      </c>
      <c r="N7" s="275"/>
      <c r="O7" s="265"/>
      <c r="P7" s="265"/>
      <c r="Q7" s="265"/>
      <c r="R7" s="265"/>
      <c r="S7" s="265"/>
      <c r="T7" s="289"/>
      <c r="U7" s="119"/>
      <c r="V7" s="119"/>
      <c r="W7" s="119"/>
      <c r="X7" s="119"/>
      <c r="Y7" s="119"/>
    </row>
    <row r="8" spans="1:28" ht="14.5" x14ac:dyDescent="0.3">
      <c r="A8" s="272">
        <v>0</v>
      </c>
      <c r="B8" s="272" t="s">
        <v>970</v>
      </c>
      <c r="C8" s="272" t="s">
        <v>971</v>
      </c>
      <c r="D8" s="287" t="s">
        <v>25</v>
      </c>
      <c r="E8" s="274">
        <v>1</v>
      </c>
      <c r="F8" s="274">
        <v>0</v>
      </c>
      <c r="G8" s="274">
        <v>50</v>
      </c>
      <c r="H8" s="271">
        <v>5000</v>
      </c>
      <c r="I8" s="286">
        <v>2</v>
      </c>
      <c r="J8" s="271">
        <v>30</v>
      </c>
      <c r="K8" s="271">
        <v>500</v>
      </c>
      <c r="L8" s="271">
        <v>15</v>
      </c>
      <c r="M8" s="287" t="s">
        <v>25</v>
      </c>
      <c r="N8" s="275"/>
      <c r="O8" s="12"/>
      <c r="P8" s="265"/>
      <c r="Q8" s="265"/>
      <c r="R8" s="265"/>
      <c r="S8" s="265"/>
      <c r="T8" s="293"/>
      <c r="U8" s="294"/>
      <c r="V8" s="294"/>
      <c r="W8" s="119"/>
      <c r="X8" s="119"/>
      <c r="Y8" s="119"/>
    </row>
    <row r="9" spans="1:28" ht="14.5" x14ac:dyDescent="0.3">
      <c r="A9" s="272">
        <v>1</v>
      </c>
      <c r="B9" s="272" t="s">
        <v>969</v>
      </c>
      <c r="C9" s="272" t="s">
        <v>972</v>
      </c>
      <c r="D9" s="287" t="s">
        <v>25</v>
      </c>
      <c r="E9" s="274">
        <v>1</v>
      </c>
      <c r="F9" s="274">
        <v>1</v>
      </c>
      <c r="G9" s="274">
        <v>50</v>
      </c>
      <c r="H9" s="271">
        <v>5000</v>
      </c>
      <c r="I9" s="286">
        <v>2</v>
      </c>
      <c r="J9" s="271">
        <v>30</v>
      </c>
      <c r="K9" s="271">
        <v>500</v>
      </c>
      <c r="L9" s="271">
        <v>15</v>
      </c>
      <c r="M9" s="287" t="s">
        <v>25</v>
      </c>
      <c r="N9" s="275"/>
      <c r="O9" s="12"/>
      <c r="P9" s="265"/>
      <c r="Q9" s="265"/>
      <c r="R9" s="265"/>
      <c r="S9" s="265"/>
      <c r="T9" s="293"/>
      <c r="U9" s="294"/>
      <c r="V9" s="294"/>
      <c r="W9" s="119"/>
      <c r="X9" s="119"/>
      <c r="Y9" s="119"/>
    </row>
    <row r="10" spans="1:28" ht="13.4" customHeight="1" x14ac:dyDescent="0.3">
      <c r="A10" s="280"/>
      <c r="B10" s="281"/>
      <c r="C10" s="281"/>
      <c r="D10" s="281"/>
      <c r="E10" s="281"/>
      <c r="F10" s="281"/>
      <c r="G10" s="281"/>
      <c r="H10" s="281"/>
      <c r="I10" s="281"/>
      <c r="J10" s="281"/>
      <c r="K10" s="281"/>
      <c r="L10" s="281"/>
      <c r="M10" s="281"/>
      <c r="N10" s="281"/>
      <c r="O10" s="281"/>
      <c r="P10" s="281"/>
      <c r="Q10" s="281"/>
      <c r="R10" s="281"/>
      <c r="S10" s="301"/>
      <c r="T10" s="295"/>
      <c r="U10" s="295"/>
      <c r="V10" s="295"/>
      <c r="W10" s="295"/>
      <c r="X10" s="293"/>
      <c r="Y10" s="294"/>
      <c r="Z10" s="294"/>
    </row>
    <row r="11" spans="1:28" ht="13.4" customHeight="1" x14ac:dyDescent="0.3">
      <c r="A11" s="321" t="s">
        <v>7</v>
      </c>
      <c r="B11" s="321"/>
      <c r="C11" s="321"/>
      <c r="D11" s="321"/>
      <c r="E11" s="321"/>
      <c r="F11" s="321"/>
      <c r="G11" s="321"/>
      <c r="H11" s="321"/>
      <c r="I11" s="321"/>
      <c r="J11" s="321"/>
      <c r="K11" s="321"/>
      <c r="L11" s="321"/>
      <c r="M11" s="321"/>
      <c r="N11" s="321"/>
      <c r="O11" s="321"/>
      <c r="P11" s="321"/>
      <c r="Q11" s="321"/>
      <c r="R11" s="321"/>
      <c r="S11" s="321"/>
      <c r="T11" s="294"/>
      <c r="U11" s="296"/>
      <c r="V11" s="296"/>
      <c r="W11" s="296"/>
      <c r="X11" s="296"/>
      <c r="Y11" s="296"/>
      <c r="Z11" s="294"/>
      <c r="AA11" s="294"/>
      <c r="AB11" s="294"/>
    </row>
    <row r="12" spans="1:28" ht="14.65" customHeight="1" x14ac:dyDescent="0.3">
      <c r="A12" s="322"/>
      <c r="B12" s="322"/>
      <c r="C12" s="322"/>
      <c r="D12" s="322"/>
      <c r="E12" s="322"/>
      <c r="F12" s="322"/>
      <c r="G12" s="322"/>
      <c r="H12" s="322"/>
      <c r="I12" s="322"/>
      <c r="J12" s="322"/>
      <c r="K12" s="322"/>
      <c r="L12" s="322"/>
      <c r="M12" s="322"/>
      <c r="N12" s="322"/>
      <c r="O12" s="322"/>
      <c r="P12" s="322"/>
      <c r="Q12" s="322"/>
      <c r="R12" s="322"/>
      <c r="S12" s="322"/>
      <c r="T12" s="297"/>
      <c r="U12" s="296"/>
      <c r="V12" s="296"/>
      <c r="W12" s="296"/>
      <c r="X12" s="296"/>
      <c r="Y12" s="296"/>
      <c r="Z12" s="294"/>
      <c r="AA12" s="294"/>
      <c r="AB12" s="294"/>
    </row>
    <row r="13" spans="1:28" ht="14.5" x14ac:dyDescent="0.3">
      <c r="A13" s="256" t="s">
        <v>10</v>
      </c>
      <c r="B13" s="256" t="s">
        <v>11</v>
      </c>
      <c r="C13" s="256" t="s">
        <v>12</v>
      </c>
      <c r="D13" s="256" t="s">
        <v>13</v>
      </c>
      <c r="E13" s="256" t="s">
        <v>14</v>
      </c>
      <c r="F13" s="256" t="s">
        <v>15</v>
      </c>
      <c r="G13" s="256" t="s">
        <v>16</v>
      </c>
      <c r="H13" s="256" t="s">
        <v>17</v>
      </c>
      <c r="I13" s="256" t="s">
        <v>18</v>
      </c>
      <c r="J13" s="256" t="s">
        <v>19</v>
      </c>
      <c r="K13" s="256" t="s">
        <v>20</v>
      </c>
      <c r="L13" s="263" t="s">
        <v>974</v>
      </c>
      <c r="M13" s="263" t="s">
        <v>975</v>
      </c>
      <c r="N13" s="263" t="s">
        <v>978</v>
      </c>
      <c r="O13" s="263" t="s">
        <v>977</v>
      </c>
      <c r="P13" s="263" t="s">
        <v>980</v>
      </c>
      <c r="Q13" s="263" t="s">
        <v>979</v>
      </c>
      <c r="R13" s="263" t="s">
        <v>992</v>
      </c>
      <c r="S13" s="251"/>
      <c r="T13" s="294"/>
      <c r="U13" s="296"/>
      <c r="V13" s="296"/>
      <c r="W13" s="296"/>
      <c r="X13" s="296"/>
      <c r="Y13" s="296"/>
      <c r="Z13" s="294"/>
      <c r="AA13" s="294"/>
      <c r="AB13" s="294"/>
    </row>
    <row r="14" spans="1:28" ht="14.5" x14ac:dyDescent="0.3">
      <c r="A14" s="268"/>
      <c r="B14" s="268"/>
      <c r="C14" s="268"/>
      <c r="D14" s="268"/>
      <c r="E14" s="268"/>
      <c r="F14" s="268"/>
      <c r="G14" s="287"/>
      <c r="H14" s="268"/>
      <c r="I14" s="268"/>
      <c r="J14" s="268"/>
      <c r="K14" s="257"/>
      <c r="L14" s="261"/>
      <c r="M14" s="261"/>
      <c r="N14" s="262"/>
      <c r="O14" s="262"/>
      <c r="P14" s="262"/>
      <c r="Q14" s="261"/>
      <c r="R14" s="261"/>
      <c r="S14" s="255"/>
      <c r="T14" s="294"/>
      <c r="U14" s="296"/>
      <c r="V14" s="296"/>
      <c r="W14" s="296"/>
      <c r="X14" s="296"/>
      <c r="Y14" s="296"/>
      <c r="Z14" s="294"/>
      <c r="AA14" s="294"/>
      <c r="AB14" s="294"/>
    </row>
    <row r="15" spans="1:28" x14ac:dyDescent="0.3">
      <c r="A15" s="252"/>
      <c r="B15" s="252"/>
      <c r="C15" s="252"/>
      <c r="D15" s="252"/>
      <c r="E15" s="252"/>
      <c r="F15" s="252"/>
      <c r="G15" s="253"/>
      <c r="H15" s="252"/>
      <c r="I15" s="252"/>
      <c r="J15" s="252"/>
      <c r="K15" s="254"/>
      <c r="L15" s="251"/>
      <c r="M15" s="251"/>
      <c r="N15" s="251"/>
      <c r="O15" s="251"/>
      <c r="P15" s="251"/>
      <c r="Q15" s="251"/>
      <c r="R15" s="251"/>
      <c r="S15" s="255"/>
      <c r="T15" s="294"/>
      <c r="U15" s="296"/>
      <c r="V15" s="296"/>
      <c r="W15" s="296"/>
      <c r="X15" s="296"/>
      <c r="Y15" s="296"/>
      <c r="Z15" s="294"/>
      <c r="AA15" s="294"/>
      <c r="AB15" s="294"/>
    </row>
    <row r="16" spans="1:28" ht="14.65" customHeight="1" x14ac:dyDescent="0.3">
      <c r="A16" s="320" t="s">
        <v>36</v>
      </c>
      <c r="B16" s="320"/>
      <c r="C16" s="320"/>
      <c r="D16" s="320"/>
      <c r="E16" s="320"/>
      <c r="F16" s="320"/>
      <c r="G16" s="320"/>
      <c r="H16" s="320"/>
      <c r="I16" s="320"/>
      <c r="J16" s="320"/>
      <c r="K16" s="320"/>
      <c r="L16" s="320"/>
      <c r="M16" s="320"/>
      <c r="N16" s="320"/>
      <c r="O16" s="298"/>
      <c r="P16" s="298"/>
      <c r="Q16" s="298"/>
      <c r="R16" s="298"/>
      <c r="S16" s="298"/>
      <c r="T16" s="297"/>
      <c r="U16" s="296"/>
      <c r="V16" s="296"/>
      <c r="W16" s="296"/>
      <c r="X16" s="296"/>
      <c r="Y16" s="296"/>
      <c r="Z16" s="294"/>
      <c r="AA16" s="294"/>
      <c r="AB16" s="294"/>
    </row>
    <row r="17" spans="1:28" ht="14.5" x14ac:dyDescent="0.3">
      <c r="A17" s="260" t="s">
        <v>13</v>
      </c>
      <c r="B17" s="260" t="s">
        <v>14</v>
      </c>
      <c r="C17" s="260" t="s">
        <v>15</v>
      </c>
      <c r="D17" s="260" t="s">
        <v>16</v>
      </c>
      <c r="E17" s="263" t="s">
        <v>976</v>
      </c>
      <c r="F17" s="263" t="s">
        <v>993</v>
      </c>
      <c r="G17" s="263" t="s">
        <v>991</v>
      </c>
      <c r="H17" s="263" t="s">
        <v>990</v>
      </c>
      <c r="I17" s="256" t="s">
        <v>985</v>
      </c>
      <c r="J17" s="256" t="s">
        <v>986</v>
      </c>
      <c r="K17" s="256" t="s">
        <v>987</v>
      </c>
      <c r="L17" s="256" t="s">
        <v>988</v>
      </c>
      <c r="M17" s="256" t="s">
        <v>989</v>
      </c>
      <c r="N17" s="299"/>
      <c r="O17" s="282"/>
      <c r="P17" s="300"/>
      <c r="Q17" s="300"/>
      <c r="R17" s="300"/>
      <c r="S17" s="251"/>
      <c r="T17" s="294"/>
      <c r="U17" s="294"/>
      <c r="V17" s="294"/>
      <c r="W17" s="119"/>
      <c r="X17" s="119"/>
      <c r="Y17" s="119"/>
    </row>
    <row r="18" spans="1:28" ht="14.5" x14ac:dyDescent="0.3">
      <c r="A18" s="273"/>
      <c r="B18" s="273"/>
      <c r="C18" s="273"/>
      <c r="D18" s="348" t="s">
        <v>25</v>
      </c>
      <c r="E18" s="261"/>
      <c r="F18" s="261"/>
      <c r="G18" s="261"/>
      <c r="H18" s="262"/>
      <c r="I18" s="262"/>
      <c r="J18" s="262" t="s">
        <v>25</v>
      </c>
      <c r="K18" s="261"/>
      <c r="L18" s="261"/>
      <c r="M18" s="287" t="s">
        <v>25</v>
      </c>
      <c r="N18" s="262"/>
      <c r="O18" s="283"/>
      <c r="P18" s="300"/>
      <c r="Q18" s="300"/>
      <c r="R18" s="300"/>
      <c r="S18" s="251"/>
      <c r="T18" s="294"/>
      <c r="U18" s="294"/>
      <c r="V18" s="294"/>
      <c r="W18" s="119"/>
      <c r="X18" s="119"/>
      <c r="Y18" s="119"/>
    </row>
    <row r="19" spans="1:28" ht="14.5" x14ac:dyDescent="0.3">
      <c r="A19" s="273"/>
      <c r="B19" s="273"/>
      <c r="C19" s="273"/>
      <c r="D19" s="348" t="s">
        <v>25</v>
      </c>
      <c r="E19" s="261"/>
      <c r="F19" s="261"/>
      <c r="G19" s="261"/>
      <c r="H19" s="262"/>
      <c r="I19" s="262"/>
      <c r="J19" s="262" t="s">
        <v>25</v>
      </c>
      <c r="K19" s="261"/>
      <c r="L19" s="261"/>
      <c r="M19" s="287" t="s">
        <v>25</v>
      </c>
      <c r="N19" s="262"/>
      <c r="O19" s="283"/>
      <c r="P19" s="300"/>
      <c r="Q19" s="300"/>
      <c r="R19" s="300"/>
      <c r="S19" s="251"/>
      <c r="T19" s="294"/>
      <c r="U19" s="294"/>
      <c r="V19" s="294"/>
      <c r="W19" s="119"/>
      <c r="X19" s="119"/>
      <c r="Y19" s="119"/>
    </row>
    <row r="20" spans="1:28" ht="13.4" customHeight="1" thickBot="1" x14ac:dyDescent="0.35">
      <c r="A20" s="349"/>
      <c r="B20" s="349"/>
      <c r="C20" s="349"/>
      <c r="D20" s="349"/>
      <c r="E20" s="350"/>
      <c r="F20" s="350"/>
      <c r="G20" s="350"/>
      <c r="H20" s="350"/>
      <c r="I20" s="350"/>
      <c r="J20" s="350"/>
      <c r="K20" s="350"/>
      <c r="L20" s="349"/>
      <c r="M20" s="349"/>
      <c r="N20" s="349"/>
      <c r="O20" s="349"/>
      <c r="P20" s="349"/>
      <c r="Q20" s="349"/>
      <c r="R20" s="349"/>
      <c r="S20" s="349"/>
      <c r="T20" s="293"/>
      <c r="U20" s="295"/>
      <c r="V20" s="296"/>
      <c r="W20" s="296"/>
      <c r="X20" s="296"/>
      <c r="Y20" s="296"/>
      <c r="Z20" s="294"/>
      <c r="AA20" s="294"/>
      <c r="AB20" s="294"/>
    </row>
    <row r="21" spans="1:28" ht="13.4" customHeight="1" thickTop="1" x14ac:dyDescent="0.3">
      <c r="A21" s="351" t="s">
        <v>7</v>
      </c>
      <c r="B21" s="351"/>
      <c r="C21" s="351"/>
      <c r="D21" s="351"/>
      <c r="E21" s="351"/>
      <c r="F21" s="351"/>
      <c r="G21" s="351"/>
      <c r="H21" s="351"/>
      <c r="I21" s="351"/>
      <c r="J21" s="351"/>
      <c r="K21" s="351"/>
      <c r="L21" s="351"/>
      <c r="M21" s="351"/>
      <c r="N21" s="351"/>
      <c r="O21" s="351"/>
      <c r="P21" s="351"/>
      <c r="Q21" s="351"/>
      <c r="R21" s="351"/>
      <c r="S21" s="351"/>
      <c r="T21" s="293"/>
      <c r="U21" s="295"/>
      <c r="V21" s="296"/>
      <c r="W21" s="296"/>
      <c r="X21" s="296"/>
      <c r="Y21" s="296"/>
      <c r="Z21" s="294"/>
      <c r="AA21" s="294"/>
      <c r="AB21" s="294"/>
    </row>
    <row r="22" spans="1:28" ht="13.4" customHeight="1" x14ac:dyDescent="0.3">
      <c r="A22" s="323"/>
      <c r="B22" s="323"/>
      <c r="C22" s="323"/>
      <c r="D22" s="323"/>
      <c r="E22" s="323"/>
      <c r="F22" s="323"/>
      <c r="G22" s="323"/>
      <c r="H22" s="323"/>
      <c r="I22" s="323"/>
      <c r="J22" s="323"/>
      <c r="K22" s="323"/>
      <c r="L22" s="323"/>
      <c r="M22" s="323"/>
      <c r="N22" s="323"/>
      <c r="O22" s="323"/>
      <c r="P22" s="323"/>
      <c r="Q22" s="323"/>
      <c r="R22" s="323"/>
      <c r="S22" s="323"/>
      <c r="T22" s="297"/>
      <c r="U22" s="295"/>
      <c r="V22" s="296"/>
      <c r="W22" s="296"/>
      <c r="X22" s="296"/>
      <c r="Y22" s="296"/>
      <c r="Z22" s="294"/>
      <c r="AA22" s="294"/>
      <c r="AB22" s="294"/>
    </row>
    <row r="23" spans="1:28" ht="14.5" x14ac:dyDescent="0.3">
      <c r="A23" s="59" t="s">
        <v>10</v>
      </c>
      <c r="B23" s="59" t="s">
        <v>11</v>
      </c>
      <c r="C23" s="59" t="s">
        <v>12</v>
      </c>
      <c r="D23" s="59" t="s">
        <v>13</v>
      </c>
      <c r="E23" s="59" t="s">
        <v>14</v>
      </c>
      <c r="F23" s="59" t="s">
        <v>15</v>
      </c>
      <c r="G23" s="59" t="s">
        <v>16</v>
      </c>
      <c r="H23" s="59" t="s">
        <v>17</v>
      </c>
      <c r="I23" s="59" t="s">
        <v>18</v>
      </c>
      <c r="J23" s="59" t="s">
        <v>19</v>
      </c>
      <c r="K23" s="59" t="s">
        <v>20</v>
      </c>
      <c r="L23" s="264" t="s">
        <v>974</v>
      </c>
      <c r="M23" s="264" t="s">
        <v>975</v>
      </c>
      <c r="N23" s="264" t="s">
        <v>978</v>
      </c>
      <c r="O23" s="264" t="s">
        <v>977</v>
      </c>
      <c r="P23" s="264" t="s">
        <v>980</v>
      </c>
      <c r="Q23" s="264" t="s">
        <v>979</v>
      </c>
      <c r="R23" s="264" t="s">
        <v>992</v>
      </c>
      <c r="S23" s="12"/>
      <c r="T23" s="293"/>
      <c r="U23" s="295"/>
      <c r="V23" s="296"/>
      <c r="W23" s="296"/>
      <c r="X23" s="296"/>
      <c r="Y23" s="296"/>
      <c r="Z23" s="294"/>
      <c r="AA23" s="294"/>
      <c r="AB23" s="294"/>
    </row>
    <row r="24" spans="1:28" ht="14.5" x14ac:dyDescent="0.3">
      <c r="A24" s="270"/>
      <c r="B24" s="270"/>
      <c r="C24" s="270"/>
      <c r="D24" s="270"/>
      <c r="E24" s="270"/>
      <c r="F24" s="270"/>
      <c r="G24" s="2" t="s">
        <v>25</v>
      </c>
      <c r="H24" s="270"/>
      <c r="I24" s="270"/>
      <c r="J24" s="270"/>
      <c r="K24" s="10"/>
      <c r="L24" s="274"/>
      <c r="M24" s="274"/>
      <c r="N24" s="259"/>
      <c r="O24" s="259"/>
      <c r="P24" s="259"/>
      <c r="Q24" s="274"/>
      <c r="R24" s="274"/>
      <c r="S24" s="12"/>
      <c r="T24" s="293"/>
      <c r="U24" s="295"/>
      <c r="V24" s="296"/>
      <c r="W24" s="296"/>
      <c r="X24" s="296"/>
      <c r="Y24" s="296"/>
      <c r="Z24" s="294"/>
      <c r="AA24" s="294"/>
      <c r="AB24" s="294"/>
    </row>
    <row r="25" spans="1:28" x14ac:dyDescent="0.3">
      <c r="A25" s="12"/>
      <c r="B25" s="12"/>
      <c r="C25" s="12"/>
      <c r="D25" s="12"/>
      <c r="E25" s="12"/>
      <c r="F25" s="52"/>
      <c r="G25" s="52"/>
      <c r="H25" s="96"/>
      <c r="I25" s="52"/>
      <c r="J25" s="52"/>
      <c r="K25" s="52"/>
      <c r="L25" s="12"/>
      <c r="M25" s="12"/>
      <c r="N25" s="12"/>
      <c r="O25" s="12"/>
      <c r="P25" s="12"/>
      <c r="Q25" s="12"/>
      <c r="R25" s="12"/>
      <c r="S25" s="12"/>
      <c r="T25" s="293"/>
      <c r="U25" s="295"/>
      <c r="V25" s="296"/>
      <c r="W25" s="296"/>
      <c r="X25" s="296"/>
      <c r="Y25" s="296"/>
      <c r="Z25" s="294"/>
      <c r="AA25" s="294"/>
      <c r="AB25" s="294"/>
    </row>
    <row r="26" spans="1:28" x14ac:dyDescent="0.3">
      <c r="A26" s="312" t="s">
        <v>36</v>
      </c>
      <c r="B26" s="312"/>
      <c r="C26" s="312"/>
      <c r="D26" s="312"/>
      <c r="E26" s="312"/>
      <c r="F26" s="312"/>
      <c r="G26" s="312"/>
      <c r="H26" s="312"/>
      <c r="I26" s="312"/>
      <c r="J26" s="312"/>
      <c r="K26" s="312"/>
      <c r="L26" s="312"/>
      <c r="M26" s="312"/>
      <c r="N26" s="312"/>
      <c r="O26" s="288"/>
      <c r="P26" s="288"/>
      <c r="Q26" s="288"/>
      <c r="R26" s="288"/>
      <c r="S26" s="288"/>
      <c r="T26" s="297"/>
      <c r="U26" s="295"/>
      <c r="V26" s="296"/>
      <c r="W26" s="296"/>
      <c r="X26" s="296"/>
      <c r="Y26" s="296"/>
      <c r="Z26" s="294"/>
      <c r="AA26" s="294"/>
      <c r="AB26" s="294"/>
    </row>
    <row r="27" spans="1:28" ht="14.5" x14ac:dyDescent="0.3">
      <c r="A27" s="250" t="s">
        <v>13</v>
      </c>
      <c r="B27" s="250" t="s">
        <v>14</v>
      </c>
      <c r="C27" s="250" t="s">
        <v>15</v>
      </c>
      <c r="D27" s="250" t="s">
        <v>16</v>
      </c>
      <c r="E27" s="264" t="s">
        <v>976</v>
      </c>
      <c r="F27" s="264" t="s">
        <v>993</v>
      </c>
      <c r="G27" s="264" t="s">
        <v>991</v>
      </c>
      <c r="H27" s="264" t="s">
        <v>990</v>
      </c>
      <c r="I27" s="276" t="s">
        <v>985</v>
      </c>
      <c r="J27" s="276" t="s">
        <v>986</v>
      </c>
      <c r="K27" s="276" t="s">
        <v>987</v>
      </c>
      <c r="L27" s="276" t="s">
        <v>988</v>
      </c>
      <c r="M27" s="276" t="s">
        <v>989</v>
      </c>
      <c r="N27" s="275"/>
      <c r="O27" s="284"/>
      <c r="P27" s="301"/>
      <c r="Q27" s="301"/>
      <c r="R27" s="301"/>
      <c r="S27" s="12"/>
      <c r="T27" s="294"/>
      <c r="U27" s="294"/>
      <c r="V27" s="119"/>
      <c r="W27" s="119"/>
      <c r="X27" s="119"/>
      <c r="Y27" s="119"/>
    </row>
    <row r="28" spans="1:28" ht="14.5" x14ac:dyDescent="0.3">
      <c r="A28" s="272"/>
      <c r="B28" s="272"/>
      <c r="C28" s="272"/>
      <c r="D28" s="272" t="s">
        <v>25</v>
      </c>
      <c r="E28" s="274"/>
      <c r="F28" s="274"/>
      <c r="G28" s="274"/>
      <c r="H28" s="259"/>
      <c r="I28" s="259"/>
      <c r="J28" s="259" t="s">
        <v>25</v>
      </c>
      <c r="K28" s="274"/>
      <c r="L28" s="274"/>
      <c r="M28" s="258" t="s">
        <v>25</v>
      </c>
      <c r="N28" s="259"/>
      <c r="O28" s="285"/>
      <c r="P28" s="301"/>
      <c r="Q28" s="301"/>
      <c r="R28" s="301"/>
      <c r="S28" s="12"/>
      <c r="T28" s="294"/>
      <c r="U28" s="294"/>
      <c r="V28" s="119"/>
      <c r="W28" s="119"/>
      <c r="X28" s="119"/>
      <c r="Y28" s="119"/>
    </row>
    <row r="29" spans="1:28" ht="14.5" x14ac:dyDescent="0.3">
      <c r="A29" s="272"/>
      <c r="B29" s="272"/>
      <c r="C29" s="272"/>
      <c r="D29" s="272" t="s">
        <v>25</v>
      </c>
      <c r="E29" s="274"/>
      <c r="F29" s="274"/>
      <c r="G29" s="274"/>
      <c r="H29" s="259"/>
      <c r="I29" s="259"/>
      <c r="J29" s="259" t="s">
        <v>25</v>
      </c>
      <c r="K29" s="274"/>
      <c r="L29" s="274"/>
      <c r="M29" s="258" t="s">
        <v>25</v>
      </c>
      <c r="N29" s="259"/>
      <c r="O29" s="285"/>
      <c r="P29" s="301"/>
      <c r="Q29" s="301"/>
      <c r="R29" s="301"/>
      <c r="S29" s="12"/>
      <c r="T29" s="294"/>
      <c r="U29" s="294"/>
      <c r="V29" s="119"/>
      <c r="W29" s="119"/>
      <c r="X29" s="119"/>
      <c r="Y29" s="119"/>
    </row>
    <row r="30" spans="1:28" ht="13.5" thickBot="1" x14ac:dyDescent="0.35">
      <c r="A30" s="5"/>
      <c r="B30" s="5"/>
      <c r="C30" s="5"/>
      <c r="D30" s="5"/>
      <c r="E30" s="5"/>
      <c r="F30" s="5"/>
      <c r="G30" s="5"/>
      <c r="H30" s="5"/>
      <c r="I30" s="5"/>
      <c r="J30" s="5"/>
      <c r="K30" s="5"/>
      <c r="L30" s="5"/>
      <c r="M30" s="5"/>
      <c r="N30" s="5"/>
      <c r="O30" s="5"/>
      <c r="P30" s="5"/>
      <c r="Q30" s="5"/>
      <c r="R30" s="5"/>
      <c r="S30" s="5"/>
      <c r="T30" s="293"/>
      <c r="U30" s="295"/>
      <c r="V30" s="296"/>
      <c r="W30" s="296"/>
      <c r="X30" s="296"/>
      <c r="Y30" s="296"/>
      <c r="Z30" s="294"/>
      <c r="AA30" s="294"/>
      <c r="AB30" s="294"/>
    </row>
    <row r="31" spans="1:28" ht="13.5" thickTop="1" x14ac:dyDescent="0.3">
      <c r="T31" s="293"/>
      <c r="U31" s="295"/>
      <c r="V31" s="296"/>
      <c r="W31" s="296"/>
      <c r="X31" s="296"/>
      <c r="Y31" s="296"/>
      <c r="Z31" s="294"/>
      <c r="AA31" s="294"/>
      <c r="AB31" s="294"/>
    </row>
    <row r="32" spans="1:28" x14ac:dyDescent="0.3">
      <c r="T32" s="293"/>
      <c r="U32" s="295"/>
      <c r="V32" s="296"/>
      <c r="W32" s="296"/>
      <c r="X32" s="296"/>
      <c r="Y32" s="296"/>
      <c r="Z32" s="294"/>
      <c r="AA32" s="294"/>
      <c r="AB32" s="294"/>
    </row>
    <row r="33" spans="20:28" x14ac:dyDescent="0.3">
      <c r="T33" s="294"/>
      <c r="U33" s="296"/>
      <c r="V33" s="296"/>
      <c r="W33" s="296"/>
      <c r="X33" s="296"/>
      <c r="Y33" s="296"/>
      <c r="Z33" s="294"/>
      <c r="AA33" s="294"/>
      <c r="AB33" s="294"/>
    </row>
  </sheetData>
  <mergeCells count="6">
    <mergeCell ref="A1:R2"/>
    <mergeCell ref="A21:S22"/>
    <mergeCell ref="A6:N6"/>
    <mergeCell ref="A16:N16"/>
    <mergeCell ref="A26:N26"/>
    <mergeCell ref="A11:S12"/>
  </mergeCells>
  <phoneticPr fontId="12" type="noConversion"/>
  <dataValidations count="8">
    <dataValidation allowBlank="1" showInputMessage="1" showErrorMessage="1" promptTitle="Engine IP Address" prompt="IP address of the machine that the Engine is running on" sqref="B4 B24 C15 B14" xr:uid="{C445E884-4223-4247-8295-AB4E4227B914}"/>
    <dataValidation allowBlank="1" showInputMessage="1" showErrorMessage="1" promptTitle="Engine Port Setting" prompt="This is the remote port that you are trying to connect to" sqref="C4 C24 D15 C14" xr:uid="{6220E074-5BD6-4D12-BA8E-C3286C8EBF1F}"/>
    <dataValidation type="date" operator="greaterThan" allowBlank="1" showInputMessage="1" showErrorMessage="1" sqref="K24 K14:K15 K4" xr:uid="{2AEB64BE-0BA8-469C-9D2B-B1A4B950FF1A}">
      <formula1>36526</formula1>
    </dataValidation>
    <dataValidation type="list" allowBlank="1" showInputMessage="1" showErrorMessage="1" sqref="G4 M8:M9 D8:D9 H5 G24 H25 G14:G15 M18:M19 M28:M29" xr:uid="{FE418105-FF2B-450B-9C68-89CD15C48B49}">
      <formula1>"Yes,'---"</formula1>
    </dataValidation>
    <dataValidation type="list" allowBlank="1" showInputMessage="1" showErrorMessage="1" sqref="J28:J29 J18:J19" xr:uid="{F11FDB99-BF85-42F9-9A02-342A8361B798}">
      <formula1>"'---, Enabled"</formula1>
    </dataValidation>
    <dataValidation type="list" allowBlank="1" showInputMessage="1" showErrorMessage="1" sqref="I28:I29 I18:I19 N4 N14 N24" xr:uid="{C8FE198B-74FD-447F-A075-1F3FA20EA72D}">
      <formula1>"'---, 50, 75"</formula1>
    </dataValidation>
    <dataValidation type="list" allowBlank="1" showInputMessage="1" showErrorMessage="1" sqref="H18:H19 H28:H29 O4 O14 O24" xr:uid="{A3FFAE82-573A-4889-A5B6-75E05EC0BC78}">
      <formula1>"'---, Standard Function, Frequency List, Arbitrary Waveform, Arbitrary Sequence, Script"</formula1>
    </dataValidation>
    <dataValidation type="list" allowBlank="1" showInputMessage="1" showErrorMessage="1" sqref="N28:O29 N18:O19 P4 P14 P24" xr:uid="{F3AC0EDE-70B1-492C-BBFD-5CA3100FFE75}">
      <formula1>"'---, Script Trigger, Start Trigger"</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FF0000"/>
  </sheetPr>
  <dimension ref="A1:V97"/>
  <sheetViews>
    <sheetView topLeftCell="B23" zoomScale="130" zoomScaleNormal="130" workbookViewId="0">
      <selection activeCell="K58" sqref="K58"/>
    </sheetView>
  </sheetViews>
  <sheetFormatPr defaultColWidth="21.54296875" defaultRowHeight="13" x14ac:dyDescent="0.35"/>
  <cols>
    <col min="1" max="1" width="14.54296875" style="110" bestFit="1" customWidth="1"/>
    <col min="2" max="2" width="23.7265625" style="110" bestFit="1" customWidth="1"/>
    <col min="3" max="3" width="41.26953125" style="110" bestFit="1" customWidth="1"/>
    <col min="4" max="4" width="11.26953125" style="110" bestFit="1" customWidth="1"/>
    <col min="5" max="5" width="13.1796875" style="110" bestFit="1" customWidth="1"/>
    <col min="6" max="6" width="20.81640625" style="110" bestFit="1" customWidth="1"/>
    <col min="7" max="9" width="15.54296875" style="110" bestFit="1" customWidth="1"/>
    <col min="10" max="10" width="12.81640625" style="110" bestFit="1" customWidth="1"/>
    <col min="11" max="11" width="16.26953125" style="110" bestFit="1" customWidth="1"/>
    <col min="12" max="12" width="13.26953125" style="110" bestFit="1" customWidth="1"/>
    <col min="13" max="13" width="13.54296875" style="110" bestFit="1" customWidth="1"/>
    <col min="14" max="14" width="13" style="46" bestFit="1" customWidth="1"/>
    <col min="15" max="15" width="12.453125" style="110" bestFit="1" customWidth="1"/>
    <col min="16" max="16" width="13" style="110" bestFit="1" customWidth="1"/>
    <col min="17" max="17" width="12.453125" style="110" bestFit="1" customWidth="1"/>
    <col min="18" max="18" width="14.81640625" style="110" bestFit="1" customWidth="1"/>
    <col min="19" max="19" width="12.7265625" style="110" bestFit="1" customWidth="1"/>
    <col min="20" max="20" width="4.26953125" style="110" bestFit="1" customWidth="1"/>
    <col min="21" max="27" width="21.54296875" style="110" customWidth="1"/>
    <col min="28" max="16384" width="21.54296875" style="110"/>
  </cols>
  <sheetData>
    <row r="1" spans="1:20" ht="13.4" customHeight="1" thickTop="1" x14ac:dyDescent="0.35">
      <c r="A1" s="69"/>
      <c r="B1" s="69"/>
      <c r="C1" s="69"/>
      <c r="D1" s="69"/>
      <c r="E1" s="69"/>
      <c r="F1" s="134" t="s">
        <v>589</v>
      </c>
      <c r="G1" s="69"/>
      <c r="H1" s="69"/>
      <c r="I1" s="69"/>
      <c r="J1" s="69"/>
      <c r="K1" s="69"/>
      <c r="L1" s="69"/>
      <c r="M1" s="69"/>
      <c r="N1" s="73"/>
      <c r="O1" s="69"/>
      <c r="P1" s="69"/>
      <c r="Q1" s="69"/>
      <c r="R1" s="69"/>
      <c r="S1" s="69"/>
      <c r="T1" s="43"/>
    </row>
    <row r="2" spans="1:20" ht="14.65" customHeight="1" x14ac:dyDescent="0.35">
      <c r="A2" s="316" t="s">
        <v>7</v>
      </c>
      <c r="B2" s="306"/>
      <c r="C2" s="306"/>
      <c r="D2" s="306"/>
      <c r="E2" s="306"/>
      <c r="F2" s="306"/>
      <c r="G2" s="306"/>
      <c r="H2" s="306"/>
      <c r="I2" s="306"/>
      <c r="J2" s="306"/>
      <c r="K2" s="307"/>
      <c r="L2" s="75"/>
      <c r="M2" s="75"/>
      <c r="N2" s="75"/>
      <c r="O2" s="74"/>
      <c r="P2" s="74"/>
      <c r="Q2" s="74"/>
      <c r="R2" s="74"/>
      <c r="S2" s="74"/>
      <c r="T2" s="61"/>
    </row>
    <row r="3" spans="1:20" s="74" customFormat="1" x14ac:dyDescent="0.35">
      <c r="A3" s="59" t="s">
        <v>10</v>
      </c>
      <c r="B3" s="59" t="s">
        <v>11</v>
      </c>
      <c r="C3" s="59" t="s">
        <v>12</v>
      </c>
      <c r="D3" s="59" t="s">
        <v>13</v>
      </c>
      <c r="E3" s="59" t="s">
        <v>14</v>
      </c>
      <c r="F3" s="59" t="s">
        <v>15</v>
      </c>
      <c r="G3" s="59" t="s">
        <v>16</v>
      </c>
      <c r="H3" s="59" t="s">
        <v>17</v>
      </c>
      <c r="I3" s="59" t="s">
        <v>18</v>
      </c>
      <c r="J3" s="59" t="s">
        <v>19</v>
      </c>
      <c r="K3" s="59" t="s">
        <v>20</v>
      </c>
      <c r="L3" s="77"/>
      <c r="N3" s="78"/>
      <c r="T3" s="61"/>
    </row>
    <row r="4" spans="1:20" s="74" customFormat="1" x14ac:dyDescent="0.3">
      <c r="A4" s="245" t="s">
        <v>590</v>
      </c>
      <c r="B4" s="240" t="s">
        <v>27</v>
      </c>
      <c r="C4" s="240">
        <v>0</v>
      </c>
      <c r="D4" s="245" t="s">
        <v>591</v>
      </c>
      <c r="E4" s="245" t="s">
        <v>589</v>
      </c>
      <c r="F4" s="245" t="s">
        <v>592</v>
      </c>
      <c r="G4" s="151" t="s">
        <v>29</v>
      </c>
      <c r="H4" s="245" t="s">
        <v>593</v>
      </c>
      <c r="I4" s="245" t="s">
        <v>594</v>
      </c>
      <c r="J4" s="245">
        <v>223</v>
      </c>
      <c r="K4" s="60">
        <v>36892</v>
      </c>
      <c r="L4" s="79"/>
      <c r="N4" s="78"/>
      <c r="T4" s="61"/>
    </row>
    <row r="5" spans="1:20" s="74" customFormat="1" x14ac:dyDescent="0.35">
      <c r="N5" s="78"/>
      <c r="T5" s="61"/>
    </row>
    <row r="6" spans="1:20" s="74" customFormat="1" ht="14.65" customHeight="1" x14ac:dyDescent="0.35">
      <c r="A6" s="316" t="s">
        <v>36</v>
      </c>
      <c r="B6" s="306"/>
      <c r="C6" s="306"/>
      <c r="D6" s="306"/>
      <c r="E6" s="306"/>
      <c r="F6" s="306"/>
      <c r="G6" s="306"/>
      <c r="H6" s="306"/>
      <c r="I6" s="306"/>
      <c r="J6" s="306"/>
      <c r="K6" s="306"/>
      <c r="L6" s="306"/>
      <c r="M6" s="306"/>
      <c r="N6" s="306"/>
      <c r="O6" s="306"/>
      <c r="P6" s="306"/>
      <c r="Q6" s="307"/>
      <c r="R6" s="75"/>
      <c r="S6" s="75"/>
      <c r="T6" s="44"/>
    </row>
    <row r="7" spans="1:20" s="74" customFormat="1" x14ac:dyDescent="0.35">
      <c r="A7" s="59" t="s">
        <v>13</v>
      </c>
      <c r="B7" s="59" t="s">
        <v>14</v>
      </c>
      <c r="C7" s="59" t="s">
        <v>15</v>
      </c>
      <c r="D7" s="59" t="s">
        <v>16</v>
      </c>
      <c r="E7" s="59" t="s">
        <v>595</v>
      </c>
      <c r="F7" s="59" t="s">
        <v>596</v>
      </c>
      <c r="G7" s="217" t="s">
        <v>597</v>
      </c>
      <c r="H7" s="59" t="s">
        <v>598</v>
      </c>
      <c r="I7" s="59" t="s">
        <v>599</v>
      </c>
      <c r="J7" s="59" t="s">
        <v>600</v>
      </c>
      <c r="K7" s="59" t="s">
        <v>601</v>
      </c>
      <c r="L7" s="59" t="s">
        <v>602</v>
      </c>
      <c r="M7" s="59" t="s">
        <v>603</v>
      </c>
      <c r="N7" s="59" t="s">
        <v>604</v>
      </c>
      <c r="O7" s="59" t="s">
        <v>605</v>
      </c>
      <c r="P7" s="59" t="s">
        <v>606</v>
      </c>
      <c r="Q7" s="59" t="s">
        <v>607</v>
      </c>
      <c r="R7" s="77" t="s">
        <v>608</v>
      </c>
      <c r="S7" s="77" t="s">
        <v>346</v>
      </c>
      <c r="T7" s="44"/>
    </row>
    <row r="8" spans="1:20" s="74" customFormat="1" ht="14.65" customHeight="1" x14ac:dyDescent="0.35">
      <c r="A8" s="245">
        <v>1</v>
      </c>
      <c r="B8" s="245" t="s">
        <v>609</v>
      </c>
      <c r="C8" s="132" t="s">
        <v>610</v>
      </c>
      <c r="D8" s="151" t="s">
        <v>29</v>
      </c>
      <c r="E8" s="151" t="s">
        <v>29</v>
      </c>
      <c r="F8" s="238" t="s">
        <v>611</v>
      </c>
      <c r="G8" s="218" t="s">
        <v>612</v>
      </c>
      <c r="H8" s="245">
        <v>1.4</v>
      </c>
      <c r="I8" s="245">
        <v>0.1</v>
      </c>
      <c r="J8" s="245">
        <v>1.4</v>
      </c>
      <c r="K8" s="245">
        <v>1.4</v>
      </c>
      <c r="L8" s="245">
        <v>1.4</v>
      </c>
      <c r="M8" s="245">
        <v>0.1</v>
      </c>
      <c r="N8" s="238" t="s">
        <v>25</v>
      </c>
      <c r="O8" s="238" t="s">
        <v>25</v>
      </c>
      <c r="P8" s="238" t="s">
        <v>25</v>
      </c>
      <c r="Q8" s="238" t="s">
        <v>25</v>
      </c>
      <c r="R8" s="238" t="s">
        <v>613</v>
      </c>
      <c r="S8" s="238" t="s">
        <v>25</v>
      </c>
      <c r="T8" s="44"/>
    </row>
    <row r="9" spans="1:20" s="74" customFormat="1" ht="14.65" customHeight="1" x14ac:dyDescent="0.35">
      <c r="A9" s="245">
        <v>2</v>
      </c>
      <c r="B9" s="245" t="s">
        <v>614</v>
      </c>
      <c r="C9" s="132" t="s">
        <v>615</v>
      </c>
      <c r="D9" s="151" t="s">
        <v>29</v>
      </c>
      <c r="E9" s="151" t="s">
        <v>29</v>
      </c>
      <c r="F9" s="238" t="s">
        <v>611</v>
      </c>
      <c r="G9" s="218" t="s">
        <v>612</v>
      </c>
      <c r="H9" s="245">
        <v>1.5</v>
      </c>
      <c r="I9" s="245">
        <v>0.1</v>
      </c>
      <c r="J9" s="245">
        <v>1.5</v>
      </c>
      <c r="K9" s="245">
        <v>1.5</v>
      </c>
      <c r="L9" s="245">
        <v>1.5</v>
      </c>
      <c r="M9" s="245">
        <v>0.1</v>
      </c>
      <c r="N9" s="238" t="s">
        <v>25</v>
      </c>
      <c r="O9" s="238" t="s">
        <v>25</v>
      </c>
      <c r="P9" s="238" t="s">
        <v>25</v>
      </c>
      <c r="Q9" s="238" t="s">
        <v>25</v>
      </c>
      <c r="R9" s="238" t="s">
        <v>613</v>
      </c>
      <c r="S9" s="238" t="s">
        <v>25</v>
      </c>
      <c r="T9" s="44"/>
    </row>
    <row r="10" spans="1:20" s="74" customFormat="1" ht="14.65" customHeight="1" x14ac:dyDescent="0.35">
      <c r="A10" s="245">
        <v>3</v>
      </c>
      <c r="B10" s="245" t="s">
        <v>616</v>
      </c>
      <c r="C10" s="132" t="s">
        <v>617</v>
      </c>
      <c r="D10" s="151" t="s">
        <v>29</v>
      </c>
      <c r="E10" s="151" t="s">
        <v>29</v>
      </c>
      <c r="F10" s="238" t="s">
        <v>611</v>
      </c>
      <c r="G10" s="218" t="s">
        <v>612</v>
      </c>
      <c r="H10" s="245">
        <v>1.6</v>
      </c>
      <c r="I10" s="245">
        <v>0.1</v>
      </c>
      <c r="J10" s="245">
        <v>1.6</v>
      </c>
      <c r="K10" s="245">
        <v>1.6</v>
      </c>
      <c r="L10" s="245">
        <v>1.6</v>
      </c>
      <c r="M10" s="245">
        <v>0.1</v>
      </c>
      <c r="N10" s="238" t="s">
        <v>25</v>
      </c>
      <c r="O10" s="238" t="s">
        <v>25</v>
      </c>
      <c r="P10" s="238" t="s">
        <v>25</v>
      </c>
      <c r="Q10" s="238" t="s">
        <v>25</v>
      </c>
      <c r="R10" s="238" t="s">
        <v>613</v>
      </c>
      <c r="S10" s="238" t="s">
        <v>25</v>
      </c>
      <c r="T10" s="44"/>
    </row>
    <row r="11" spans="1:20" s="74" customFormat="1" ht="14.65" customHeight="1" x14ac:dyDescent="0.35">
      <c r="A11" s="245">
        <v>4</v>
      </c>
      <c r="B11" s="245" t="s">
        <v>618</v>
      </c>
      <c r="C11" s="132" t="s">
        <v>619</v>
      </c>
      <c r="D11" s="151" t="s">
        <v>29</v>
      </c>
      <c r="E11" s="151" t="s">
        <v>29</v>
      </c>
      <c r="F11" s="238" t="s">
        <v>611</v>
      </c>
      <c r="G11" s="218" t="s">
        <v>612</v>
      </c>
      <c r="H11" s="245">
        <v>1.7</v>
      </c>
      <c r="I11" s="245">
        <v>0.1</v>
      </c>
      <c r="J11" s="245">
        <v>1.7</v>
      </c>
      <c r="K11" s="245">
        <v>1.7</v>
      </c>
      <c r="L11" s="245">
        <v>1.7</v>
      </c>
      <c r="M11" s="245">
        <v>0.1</v>
      </c>
      <c r="N11" s="238" t="s">
        <v>25</v>
      </c>
      <c r="O11" s="238" t="s">
        <v>25</v>
      </c>
      <c r="P11" s="238" t="s">
        <v>25</v>
      </c>
      <c r="Q11" s="238" t="s">
        <v>25</v>
      </c>
      <c r="R11" s="238" t="s">
        <v>613</v>
      </c>
      <c r="S11" s="238" t="s">
        <v>25</v>
      </c>
      <c r="T11" s="44"/>
    </row>
    <row r="12" spans="1:20" ht="13.4" customHeight="1" thickBot="1" x14ac:dyDescent="0.4">
      <c r="A12" s="62"/>
      <c r="B12" s="62"/>
      <c r="C12" s="62"/>
      <c r="D12" s="62"/>
      <c r="E12" s="62"/>
      <c r="F12" s="62"/>
      <c r="G12" s="62"/>
      <c r="H12" s="62"/>
      <c r="I12" s="62"/>
      <c r="J12" s="62"/>
      <c r="K12" s="62"/>
      <c r="L12" s="62"/>
      <c r="M12" s="62"/>
      <c r="N12" s="70"/>
      <c r="O12" s="62"/>
      <c r="P12" s="62"/>
      <c r="Q12" s="62"/>
      <c r="R12" s="62"/>
      <c r="S12" s="62"/>
      <c r="T12" s="63"/>
    </row>
    <row r="13" spans="1:20" ht="13.4" customHeight="1" thickTop="1" x14ac:dyDescent="0.35">
      <c r="A13" s="68"/>
      <c r="B13" s="68"/>
      <c r="C13" s="68"/>
      <c r="D13" s="68"/>
      <c r="E13" s="68"/>
      <c r="F13" s="133" t="s">
        <v>620</v>
      </c>
      <c r="G13" s="68"/>
      <c r="H13" s="68"/>
      <c r="I13" s="68"/>
      <c r="J13" s="68"/>
      <c r="K13" s="68"/>
      <c r="L13" s="68"/>
      <c r="M13" s="68"/>
      <c r="N13" s="71"/>
      <c r="O13" s="68"/>
      <c r="P13" s="68"/>
      <c r="Q13" s="68"/>
      <c r="R13" s="68"/>
      <c r="S13" s="68"/>
      <c r="T13" s="64"/>
    </row>
    <row r="14" spans="1:20" ht="14.65" customHeight="1" x14ac:dyDescent="0.35">
      <c r="A14" s="317" t="s">
        <v>7</v>
      </c>
      <c r="B14" s="306"/>
      <c r="C14" s="306"/>
      <c r="D14" s="306"/>
      <c r="E14" s="306"/>
      <c r="F14" s="306"/>
      <c r="G14" s="306"/>
      <c r="H14" s="306"/>
      <c r="I14" s="306"/>
      <c r="J14" s="306"/>
      <c r="K14" s="307"/>
      <c r="L14" s="76"/>
      <c r="M14" s="76"/>
      <c r="N14" s="76"/>
      <c r="O14" s="85"/>
      <c r="P14" s="85"/>
      <c r="Q14" s="85"/>
      <c r="R14" s="85"/>
      <c r="S14" s="85"/>
      <c r="T14" s="45"/>
    </row>
    <row r="15" spans="1:20" x14ac:dyDescent="0.35">
      <c r="A15" s="233" t="s">
        <v>10</v>
      </c>
      <c r="B15" s="233" t="s">
        <v>11</v>
      </c>
      <c r="C15" s="233" t="s">
        <v>12</v>
      </c>
      <c r="D15" s="233" t="s">
        <v>13</v>
      </c>
      <c r="E15" s="233" t="s">
        <v>14</v>
      </c>
      <c r="F15" s="233" t="s">
        <v>15</v>
      </c>
      <c r="G15" s="233" t="s">
        <v>16</v>
      </c>
      <c r="H15" s="233" t="s">
        <v>17</v>
      </c>
      <c r="I15" s="233" t="s">
        <v>18</v>
      </c>
      <c r="J15" s="233" t="s">
        <v>19</v>
      </c>
      <c r="K15" s="233" t="s">
        <v>20</v>
      </c>
      <c r="L15" s="80"/>
      <c r="M15" s="80"/>
      <c r="N15" s="81"/>
      <c r="O15" s="85"/>
      <c r="P15" s="85"/>
      <c r="Q15" s="85"/>
      <c r="R15" s="85"/>
      <c r="S15" s="85"/>
      <c r="T15" s="64"/>
    </row>
    <row r="16" spans="1:20" x14ac:dyDescent="0.3">
      <c r="A16" s="246" t="s">
        <v>590</v>
      </c>
      <c r="B16" s="241" t="s">
        <v>27</v>
      </c>
      <c r="C16" s="241">
        <v>0</v>
      </c>
      <c r="D16" s="246" t="s">
        <v>621</v>
      </c>
      <c r="E16" s="246" t="s">
        <v>620</v>
      </c>
      <c r="F16" s="246" t="s">
        <v>622</v>
      </c>
      <c r="G16" s="151" t="s">
        <v>29</v>
      </c>
      <c r="H16" s="246" t="s">
        <v>593</v>
      </c>
      <c r="I16" s="246"/>
      <c r="J16" s="246"/>
      <c r="K16" s="65">
        <v>36892</v>
      </c>
      <c r="L16" s="82"/>
      <c r="M16" s="82"/>
      <c r="N16" s="83"/>
      <c r="O16" s="85"/>
      <c r="P16" s="85"/>
      <c r="Q16" s="85"/>
      <c r="R16" s="85"/>
      <c r="S16" s="85"/>
      <c r="T16" s="64"/>
    </row>
    <row r="17" spans="1:20" x14ac:dyDescent="0.35">
      <c r="A17" s="85"/>
      <c r="B17" s="85"/>
      <c r="C17" s="85"/>
      <c r="D17" s="85"/>
      <c r="E17" s="85"/>
      <c r="F17" s="85"/>
      <c r="G17" s="85"/>
      <c r="H17" s="85"/>
      <c r="I17" s="85"/>
      <c r="J17" s="85"/>
      <c r="K17" s="85"/>
      <c r="L17" s="85"/>
      <c r="M17" s="85"/>
      <c r="N17" s="83"/>
      <c r="O17" s="85"/>
      <c r="P17" s="85"/>
      <c r="Q17" s="85"/>
      <c r="R17" s="85"/>
      <c r="S17" s="85"/>
      <c r="T17" s="64"/>
    </row>
    <row r="18" spans="1:20" ht="14.65" customHeight="1" x14ac:dyDescent="0.35">
      <c r="A18" s="317" t="s">
        <v>36</v>
      </c>
      <c r="B18" s="306"/>
      <c r="C18" s="306"/>
      <c r="D18" s="306"/>
      <c r="E18" s="306"/>
      <c r="F18" s="306"/>
      <c r="G18" s="306"/>
      <c r="H18" s="306"/>
      <c r="I18" s="306"/>
      <c r="J18" s="306"/>
      <c r="K18" s="306"/>
      <c r="L18" s="306"/>
      <c r="M18" s="306"/>
      <c r="N18" s="306"/>
      <c r="O18" s="306"/>
      <c r="P18" s="306"/>
      <c r="Q18" s="307"/>
      <c r="R18" s="76"/>
      <c r="S18" s="76"/>
      <c r="T18" s="64"/>
    </row>
    <row r="19" spans="1:20" x14ac:dyDescent="0.35">
      <c r="A19" s="233" t="s">
        <v>13</v>
      </c>
      <c r="B19" s="233" t="s">
        <v>14</v>
      </c>
      <c r="C19" s="233" t="s">
        <v>15</v>
      </c>
      <c r="D19" s="233" t="s">
        <v>16</v>
      </c>
      <c r="E19" s="233" t="s">
        <v>595</v>
      </c>
      <c r="F19" s="233" t="s">
        <v>596</v>
      </c>
      <c r="G19" s="217" t="s">
        <v>597</v>
      </c>
      <c r="H19" s="233" t="s">
        <v>598</v>
      </c>
      <c r="I19" s="233" t="s">
        <v>599</v>
      </c>
      <c r="J19" s="233" t="s">
        <v>600</v>
      </c>
      <c r="K19" s="233" t="s">
        <v>601</v>
      </c>
      <c r="L19" s="233" t="s">
        <v>602</v>
      </c>
      <c r="M19" s="233" t="s">
        <v>603</v>
      </c>
      <c r="N19" s="233" t="s">
        <v>604</v>
      </c>
      <c r="O19" s="233" t="s">
        <v>605</v>
      </c>
      <c r="P19" s="233" t="s">
        <v>606</v>
      </c>
      <c r="Q19" s="233" t="s">
        <v>607</v>
      </c>
      <c r="R19" s="80" t="s">
        <v>608</v>
      </c>
      <c r="S19" s="80" t="s">
        <v>346</v>
      </c>
      <c r="T19" s="64"/>
    </row>
    <row r="20" spans="1:20" x14ac:dyDescent="0.3">
      <c r="A20" s="246">
        <v>1</v>
      </c>
      <c r="B20" s="131" t="s">
        <v>200</v>
      </c>
      <c r="C20" s="131" t="s">
        <v>623</v>
      </c>
      <c r="D20" s="151" t="s">
        <v>29</v>
      </c>
      <c r="E20" s="151" t="s">
        <v>29</v>
      </c>
      <c r="F20" s="239" t="s">
        <v>611</v>
      </c>
      <c r="G20" s="219" t="s">
        <v>612</v>
      </c>
      <c r="H20" s="246">
        <v>1.8</v>
      </c>
      <c r="I20" s="246">
        <v>0.1</v>
      </c>
      <c r="J20" s="246">
        <v>1.6</v>
      </c>
      <c r="K20" s="246">
        <v>1.6</v>
      </c>
      <c r="L20" s="246">
        <v>1.6</v>
      </c>
      <c r="M20" s="246">
        <v>0.1</v>
      </c>
      <c r="N20" s="239" t="s">
        <v>25</v>
      </c>
      <c r="O20" s="239" t="s">
        <v>25</v>
      </c>
      <c r="P20" s="239" t="s">
        <v>25</v>
      </c>
      <c r="Q20" s="239" t="s">
        <v>25</v>
      </c>
      <c r="R20" s="239" t="s">
        <v>613</v>
      </c>
      <c r="S20" s="239" t="s">
        <v>25</v>
      </c>
      <c r="T20" s="64"/>
    </row>
    <row r="21" spans="1:20" x14ac:dyDescent="0.3">
      <c r="A21" s="246">
        <v>2</v>
      </c>
      <c r="B21" s="131" t="s">
        <v>198</v>
      </c>
      <c r="C21" s="131" t="s">
        <v>624</v>
      </c>
      <c r="D21" s="151" t="s">
        <v>29</v>
      </c>
      <c r="E21" s="151" t="s">
        <v>29</v>
      </c>
      <c r="F21" s="239" t="s">
        <v>611</v>
      </c>
      <c r="G21" s="219" t="s">
        <v>612</v>
      </c>
      <c r="H21" s="246">
        <v>1.9</v>
      </c>
      <c r="I21" s="246">
        <v>0.1</v>
      </c>
      <c r="J21" s="246">
        <v>2.1</v>
      </c>
      <c r="K21" s="246">
        <v>2.1</v>
      </c>
      <c r="L21" s="246">
        <v>2.1</v>
      </c>
      <c r="M21" s="246">
        <v>0.1</v>
      </c>
      <c r="N21" s="239" t="s">
        <v>25</v>
      </c>
      <c r="O21" s="239" t="s">
        <v>25</v>
      </c>
      <c r="P21" s="239" t="s">
        <v>25</v>
      </c>
      <c r="Q21" s="239" t="s">
        <v>25</v>
      </c>
      <c r="R21" s="239" t="s">
        <v>613</v>
      </c>
      <c r="S21" s="239" t="s">
        <v>25</v>
      </c>
      <c r="T21" s="64"/>
    </row>
    <row r="22" spans="1:20" x14ac:dyDescent="0.3">
      <c r="A22" s="246">
        <v>3</v>
      </c>
      <c r="B22" s="131" t="s">
        <v>625</v>
      </c>
      <c r="C22" s="131" t="s">
        <v>626</v>
      </c>
      <c r="D22" s="151" t="s">
        <v>29</v>
      </c>
      <c r="E22" s="151" t="s">
        <v>29</v>
      </c>
      <c r="F22" s="239" t="s">
        <v>611</v>
      </c>
      <c r="G22" s="219" t="s">
        <v>612</v>
      </c>
      <c r="H22" s="246">
        <v>2</v>
      </c>
      <c r="I22" s="246">
        <v>0.1</v>
      </c>
      <c r="J22" s="246">
        <v>2</v>
      </c>
      <c r="K22" s="246">
        <v>2</v>
      </c>
      <c r="L22" s="246">
        <v>2</v>
      </c>
      <c r="M22" s="246">
        <v>0.1</v>
      </c>
      <c r="N22" s="239" t="s">
        <v>25</v>
      </c>
      <c r="O22" s="239" t="s">
        <v>25</v>
      </c>
      <c r="P22" s="239" t="s">
        <v>25</v>
      </c>
      <c r="Q22" s="239" t="s">
        <v>25</v>
      </c>
      <c r="R22" s="239" t="s">
        <v>613</v>
      </c>
      <c r="S22" s="239" t="s">
        <v>25</v>
      </c>
      <c r="T22" s="64"/>
    </row>
    <row r="23" spans="1:20" x14ac:dyDescent="0.3">
      <c r="A23" s="246">
        <v>4</v>
      </c>
      <c r="B23" s="131" t="s">
        <v>627</v>
      </c>
      <c r="C23" s="131" t="s">
        <v>628</v>
      </c>
      <c r="D23" s="151" t="s">
        <v>29</v>
      </c>
      <c r="E23" s="151" t="s">
        <v>29</v>
      </c>
      <c r="F23" s="239" t="s">
        <v>611</v>
      </c>
      <c r="G23" s="219" t="s">
        <v>612</v>
      </c>
      <c r="H23" s="246">
        <v>2.1</v>
      </c>
      <c r="I23" s="246">
        <v>0.1</v>
      </c>
      <c r="J23" s="246">
        <v>2.1</v>
      </c>
      <c r="K23" s="246">
        <v>2.1</v>
      </c>
      <c r="L23" s="246">
        <v>2.1</v>
      </c>
      <c r="M23" s="246">
        <v>0.1</v>
      </c>
      <c r="N23" s="239" t="s">
        <v>25</v>
      </c>
      <c r="O23" s="239" t="s">
        <v>25</v>
      </c>
      <c r="P23" s="239" t="s">
        <v>25</v>
      </c>
      <c r="Q23" s="239" t="s">
        <v>25</v>
      </c>
      <c r="R23" s="239" t="s">
        <v>613</v>
      </c>
      <c r="S23" s="239" t="s">
        <v>25</v>
      </c>
      <c r="T23" s="64"/>
    </row>
    <row r="24" spans="1:20" ht="13.4" customHeight="1" thickBot="1" x14ac:dyDescent="0.4">
      <c r="A24" s="66"/>
      <c r="B24" s="66"/>
      <c r="C24" s="66"/>
      <c r="D24" s="66"/>
      <c r="E24" s="66"/>
      <c r="F24" s="66"/>
      <c r="G24" s="66"/>
      <c r="H24" s="66"/>
      <c r="I24" s="66"/>
      <c r="J24" s="66"/>
      <c r="K24" s="66"/>
      <c r="L24" s="66"/>
      <c r="M24" s="66"/>
      <c r="N24" s="72"/>
      <c r="O24" s="66"/>
      <c r="P24" s="66"/>
      <c r="Q24" s="66"/>
      <c r="R24" s="66"/>
      <c r="S24" s="66"/>
      <c r="T24" s="67"/>
    </row>
    <row r="25" spans="1:20" s="234" customFormat="1" ht="13.4" customHeight="1" thickTop="1" x14ac:dyDescent="0.35">
      <c r="F25" s="136" t="s">
        <v>629</v>
      </c>
      <c r="N25" s="135"/>
    </row>
    <row r="26" spans="1:20" s="74" customFormat="1" ht="14.65" customHeight="1" x14ac:dyDescent="0.35">
      <c r="A26" s="325" t="s">
        <v>7</v>
      </c>
      <c r="B26" s="303"/>
      <c r="C26" s="303"/>
      <c r="D26" s="303"/>
      <c r="E26" s="303"/>
      <c r="F26" s="303"/>
      <c r="G26" s="303"/>
      <c r="H26" s="303"/>
      <c r="I26" s="303"/>
      <c r="J26" s="303"/>
      <c r="K26" s="304"/>
      <c r="L26" s="75"/>
      <c r="M26" s="75"/>
      <c r="N26" s="75"/>
    </row>
    <row r="27" spans="1:20" s="74" customFormat="1" x14ac:dyDescent="0.35">
      <c r="A27" s="59" t="s">
        <v>10</v>
      </c>
      <c r="B27" s="59" t="s">
        <v>11</v>
      </c>
      <c r="C27" s="59" t="s">
        <v>12</v>
      </c>
      <c r="D27" s="59" t="s">
        <v>13</v>
      </c>
      <c r="E27" s="59" t="s">
        <v>14</v>
      </c>
      <c r="F27" s="59" t="s">
        <v>15</v>
      </c>
      <c r="G27" s="59" t="s">
        <v>16</v>
      </c>
      <c r="H27" s="59" t="s">
        <v>17</v>
      </c>
      <c r="I27" s="59" t="s">
        <v>18</v>
      </c>
      <c r="J27" s="59" t="s">
        <v>19</v>
      </c>
      <c r="K27" s="59" t="s">
        <v>20</v>
      </c>
      <c r="L27" s="77"/>
      <c r="M27" s="77"/>
      <c r="N27" s="84"/>
    </row>
    <row r="28" spans="1:20" s="74" customFormat="1" x14ac:dyDescent="0.3">
      <c r="A28" s="245" t="s">
        <v>590</v>
      </c>
      <c r="B28" s="240" t="s">
        <v>159</v>
      </c>
      <c r="C28" s="240">
        <v>0</v>
      </c>
      <c r="D28" s="245" t="s">
        <v>630</v>
      </c>
      <c r="E28" s="245" t="s">
        <v>629</v>
      </c>
      <c r="F28" s="245" t="s">
        <v>631</v>
      </c>
      <c r="G28" s="151" t="s">
        <v>29</v>
      </c>
      <c r="H28" s="245" t="s">
        <v>593</v>
      </c>
      <c r="I28" s="245"/>
      <c r="J28" s="245"/>
      <c r="K28" s="60">
        <v>36892</v>
      </c>
      <c r="L28" s="79"/>
      <c r="M28" s="79"/>
      <c r="N28" s="78"/>
    </row>
    <row r="29" spans="1:20" s="74" customFormat="1" x14ac:dyDescent="0.3">
      <c r="B29" s="52"/>
      <c r="C29" s="52"/>
      <c r="G29" s="53"/>
      <c r="K29" s="79"/>
      <c r="L29" s="79"/>
      <c r="M29" s="79"/>
      <c r="N29" s="78"/>
    </row>
    <row r="30" spans="1:20" s="74" customFormat="1" ht="14.65" customHeight="1" x14ac:dyDescent="0.35">
      <c r="A30" s="316" t="s">
        <v>36</v>
      </c>
      <c r="B30" s="306"/>
      <c r="C30" s="306"/>
      <c r="D30" s="306"/>
      <c r="E30" s="306"/>
      <c r="F30" s="306"/>
      <c r="G30" s="306"/>
      <c r="H30" s="306"/>
      <c r="I30" s="306"/>
      <c r="J30" s="306"/>
      <c r="K30" s="306"/>
      <c r="L30" s="306"/>
      <c r="M30" s="306"/>
      <c r="N30" s="306"/>
      <c r="O30" s="306"/>
      <c r="P30" s="306"/>
      <c r="Q30" s="307"/>
      <c r="R30" s="75"/>
      <c r="S30" s="75"/>
      <c r="T30" s="44"/>
    </row>
    <row r="31" spans="1:20" s="74" customFormat="1" x14ac:dyDescent="0.35">
      <c r="A31" s="59" t="s">
        <v>13</v>
      </c>
      <c r="B31" s="59" t="s">
        <v>14</v>
      </c>
      <c r="C31" s="59" t="s">
        <v>15</v>
      </c>
      <c r="D31" s="59" t="s">
        <v>16</v>
      </c>
      <c r="E31" s="59" t="s">
        <v>595</v>
      </c>
      <c r="F31" s="59" t="s">
        <v>596</v>
      </c>
      <c r="G31" s="217" t="s">
        <v>597</v>
      </c>
      <c r="H31" s="59" t="s">
        <v>598</v>
      </c>
      <c r="I31" s="59" t="s">
        <v>599</v>
      </c>
      <c r="J31" s="59" t="s">
        <v>600</v>
      </c>
      <c r="K31" s="59" t="s">
        <v>601</v>
      </c>
      <c r="L31" s="59" t="s">
        <v>602</v>
      </c>
      <c r="M31" s="59" t="s">
        <v>603</v>
      </c>
      <c r="N31" s="59" t="s">
        <v>604</v>
      </c>
      <c r="O31" s="59" t="s">
        <v>605</v>
      </c>
      <c r="P31" s="59" t="s">
        <v>606</v>
      </c>
      <c r="Q31" s="59" t="s">
        <v>607</v>
      </c>
      <c r="R31" s="77" t="s">
        <v>608</v>
      </c>
      <c r="S31" s="77" t="s">
        <v>346</v>
      </c>
      <c r="T31" s="44"/>
    </row>
    <row r="32" spans="1:20" s="74" customFormat="1" x14ac:dyDescent="0.3">
      <c r="A32" s="245">
        <v>1</v>
      </c>
      <c r="B32" s="140" t="s">
        <v>632</v>
      </c>
      <c r="C32" s="245" t="s">
        <v>633</v>
      </c>
      <c r="D32" s="151" t="s">
        <v>29</v>
      </c>
      <c r="E32" s="151" t="s">
        <v>29</v>
      </c>
      <c r="F32" s="238" t="s">
        <v>611</v>
      </c>
      <c r="G32" s="220" t="s">
        <v>612</v>
      </c>
      <c r="H32" s="245">
        <v>2.2000000000000002</v>
      </c>
      <c r="I32" s="245">
        <v>0.1</v>
      </c>
      <c r="J32" s="245">
        <v>2.2000000000000002</v>
      </c>
      <c r="K32" s="245">
        <v>2.2000000000000002</v>
      </c>
      <c r="L32" s="245">
        <v>2.2000000000000002</v>
      </c>
      <c r="M32" s="245">
        <v>0.1</v>
      </c>
      <c r="N32" s="238" t="s">
        <v>25</v>
      </c>
      <c r="O32" s="238" t="s">
        <v>25</v>
      </c>
      <c r="P32" s="238" t="s">
        <v>25</v>
      </c>
      <c r="Q32" s="238" t="s">
        <v>25</v>
      </c>
      <c r="R32" s="238" t="s">
        <v>613</v>
      </c>
      <c r="S32" s="238" t="s">
        <v>25</v>
      </c>
      <c r="T32" s="44"/>
    </row>
    <row r="33" spans="1:20" s="74" customFormat="1" x14ac:dyDescent="0.3">
      <c r="A33" s="245">
        <v>2</v>
      </c>
      <c r="B33" s="140" t="s">
        <v>634</v>
      </c>
      <c r="C33" s="245" t="s">
        <v>635</v>
      </c>
      <c r="D33" s="151" t="s">
        <v>29</v>
      </c>
      <c r="E33" s="151" t="s">
        <v>29</v>
      </c>
      <c r="F33" s="238" t="s">
        <v>611</v>
      </c>
      <c r="G33" s="220" t="s">
        <v>612</v>
      </c>
      <c r="H33" s="245">
        <v>2.2999999999999998</v>
      </c>
      <c r="I33" s="245">
        <v>0.1</v>
      </c>
      <c r="J33" s="245">
        <v>2.2999999999999998</v>
      </c>
      <c r="K33" s="245">
        <v>2.2999999999999998</v>
      </c>
      <c r="L33" s="245">
        <v>2.2999999999999998</v>
      </c>
      <c r="M33" s="245">
        <v>0.1</v>
      </c>
      <c r="N33" s="238" t="s">
        <v>25</v>
      </c>
      <c r="O33" s="238" t="s">
        <v>25</v>
      </c>
      <c r="P33" s="238" t="s">
        <v>25</v>
      </c>
      <c r="Q33" s="238" t="s">
        <v>25</v>
      </c>
      <c r="R33" s="238" t="s">
        <v>613</v>
      </c>
      <c r="S33" s="238" t="s">
        <v>25</v>
      </c>
      <c r="T33" s="44"/>
    </row>
    <row r="34" spans="1:20" s="74" customFormat="1" x14ac:dyDescent="0.3">
      <c r="A34" s="245">
        <v>3</v>
      </c>
      <c r="B34" s="140" t="s">
        <v>636</v>
      </c>
      <c r="C34" s="245" t="s">
        <v>637</v>
      </c>
      <c r="D34" s="151" t="s">
        <v>29</v>
      </c>
      <c r="E34" s="151" t="s">
        <v>29</v>
      </c>
      <c r="F34" s="238" t="s">
        <v>611</v>
      </c>
      <c r="G34" s="220" t="s">
        <v>612</v>
      </c>
      <c r="H34" s="245">
        <v>2.4</v>
      </c>
      <c r="I34" s="245">
        <v>0.1</v>
      </c>
      <c r="J34" s="245">
        <v>2.4</v>
      </c>
      <c r="K34" s="245">
        <v>2.4</v>
      </c>
      <c r="L34" s="245">
        <v>2.4</v>
      </c>
      <c r="M34" s="245">
        <v>0.1</v>
      </c>
      <c r="N34" s="238" t="s">
        <v>25</v>
      </c>
      <c r="O34" s="238" t="s">
        <v>25</v>
      </c>
      <c r="P34" s="238" t="s">
        <v>25</v>
      </c>
      <c r="Q34" s="238" t="s">
        <v>25</v>
      </c>
      <c r="R34" s="238" t="s">
        <v>613</v>
      </c>
      <c r="S34" s="238" t="s">
        <v>25</v>
      </c>
      <c r="T34" s="44"/>
    </row>
    <row r="35" spans="1:20" s="74" customFormat="1" x14ac:dyDescent="0.3">
      <c r="A35" s="245">
        <v>4</v>
      </c>
      <c r="B35" s="140" t="s">
        <v>638</v>
      </c>
      <c r="C35" s="245" t="s">
        <v>639</v>
      </c>
      <c r="D35" s="238" t="s">
        <v>25</v>
      </c>
      <c r="E35" s="238" t="s">
        <v>25</v>
      </c>
      <c r="F35" s="238" t="s">
        <v>611</v>
      </c>
      <c r="G35" s="220" t="s">
        <v>612</v>
      </c>
      <c r="H35" s="245">
        <v>5</v>
      </c>
      <c r="I35" s="245">
        <v>0.5</v>
      </c>
      <c r="J35" s="245">
        <v>5</v>
      </c>
      <c r="K35" s="245">
        <v>5</v>
      </c>
      <c r="L35" s="245">
        <v>5</v>
      </c>
      <c r="M35" s="245">
        <v>0.5</v>
      </c>
      <c r="N35" s="238" t="s">
        <v>25</v>
      </c>
      <c r="O35" s="238" t="s">
        <v>25</v>
      </c>
      <c r="P35" s="238" t="s">
        <v>25</v>
      </c>
      <c r="Q35" s="238" t="s">
        <v>25</v>
      </c>
      <c r="R35" s="238" t="s">
        <v>613</v>
      </c>
      <c r="S35" s="238" t="s">
        <v>25</v>
      </c>
      <c r="T35" s="44"/>
    </row>
    <row r="36" spans="1:20" s="74" customFormat="1" x14ac:dyDescent="0.35">
      <c r="A36" s="229"/>
      <c r="B36" s="230"/>
      <c r="C36" s="230"/>
      <c r="D36" s="54"/>
      <c r="E36" s="54"/>
      <c r="F36" s="54"/>
      <c r="G36" s="54"/>
      <c r="H36" s="230"/>
      <c r="I36" s="230"/>
      <c r="J36" s="230"/>
      <c r="K36" s="230"/>
      <c r="L36" s="230"/>
      <c r="M36" s="230"/>
      <c r="N36" s="54"/>
      <c r="O36" s="54"/>
      <c r="P36" s="54"/>
      <c r="Q36" s="55"/>
      <c r="R36" s="53"/>
      <c r="S36" s="53"/>
      <c r="T36" s="75"/>
    </row>
    <row r="37" spans="1:20" s="74" customFormat="1" x14ac:dyDescent="0.35">
      <c r="A37" s="229"/>
      <c r="B37" s="230"/>
      <c r="C37" s="230"/>
      <c r="D37" s="54"/>
      <c r="E37" s="54"/>
      <c r="F37" s="137" t="s">
        <v>640</v>
      </c>
      <c r="G37" s="54"/>
      <c r="H37" s="230"/>
      <c r="I37" s="230"/>
      <c r="J37" s="230"/>
      <c r="K37" s="230"/>
      <c r="N37" s="53"/>
      <c r="O37" s="53"/>
      <c r="P37" s="53"/>
      <c r="Q37" s="53"/>
      <c r="R37" s="53"/>
      <c r="S37" s="53"/>
      <c r="T37" s="75"/>
    </row>
    <row r="38" spans="1:20" s="85" customFormat="1" ht="14.65" customHeight="1" x14ac:dyDescent="0.35">
      <c r="A38" s="313" t="s">
        <v>7</v>
      </c>
      <c r="B38" s="310"/>
      <c r="C38" s="310"/>
      <c r="D38" s="310"/>
      <c r="E38" s="310"/>
      <c r="F38" s="310"/>
      <c r="G38" s="310"/>
      <c r="H38" s="310"/>
      <c r="I38" s="310"/>
      <c r="J38" s="310"/>
      <c r="K38" s="311"/>
      <c r="L38" s="76"/>
      <c r="M38" s="76"/>
      <c r="N38" s="76"/>
    </row>
    <row r="39" spans="1:20" s="85" customFormat="1" x14ac:dyDescent="0.35">
      <c r="A39" s="233" t="s">
        <v>10</v>
      </c>
      <c r="B39" s="233" t="s">
        <v>11</v>
      </c>
      <c r="C39" s="233" t="s">
        <v>12</v>
      </c>
      <c r="D39" s="233" t="s">
        <v>13</v>
      </c>
      <c r="E39" s="233" t="s">
        <v>14</v>
      </c>
      <c r="F39" s="233" t="s">
        <v>15</v>
      </c>
      <c r="G39" s="233" t="s">
        <v>16</v>
      </c>
      <c r="H39" s="233" t="s">
        <v>17</v>
      </c>
      <c r="I39" s="233" t="s">
        <v>18</v>
      </c>
      <c r="J39" s="233" t="s">
        <v>19</v>
      </c>
      <c r="K39" s="233" t="s">
        <v>20</v>
      </c>
      <c r="L39" s="80"/>
      <c r="M39" s="80"/>
      <c r="N39" s="81"/>
    </row>
    <row r="40" spans="1:20" s="85" customFormat="1" x14ac:dyDescent="0.3">
      <c r="A40" s="246" t="s">
        <v>590</v>
      </c>
      <c r="B40" s="241" t="s">
        <v>159</v>
      </c>
      <c r="C40" s="241">
        <v>0</v>
      </c>
      <c r="D40" s="246" t="s">
        <v>641</v>
      </c>
      <c r="E40" s="246" t="s">
        <v>640</v>
      </c>
      <c r="F40" s="246" t="s">
        <v>642</v>
      </c>
      <c r="G40" s="151" t="s">
        <v>29</v>
      </c>
      <c r="H40" s="246" t="s">
        <v>593</v>
      </c>
      <c r="I40" s="246"/>
      <c r="J40" s="246"/>
      <c r="K40" s="65">
        <v>36892</v>
      </c>
      <c r="L40" s="82"/>
      <c r="M40" s="82"/>
      <c r="N40" s="83"/>
    </row>
    <row r="41" spans="1:20" s="85" customFormat="1" x14ac:dyDescent="0.3">
      <c r="B41" s="87"/>
      <c r="C41" s="87"/>
      <c r="G41" s="56"/>
      <c r="K41" s="82"/>
      <c r="L41" s="82"/>
      <c r="M41" s="82"/>
      <c r="N41" s="83"/>
    </row>
    <row r="42" spans="1:20" s="85" customFormat="1" ht="14.65" customHeight="1" x14ac:dyDescent="0.35">
      <c r="A42" s="317" t="s">
        <v>36</v>
      </c>
      <c r="B42" s="306"/>
      <c r="C42" s="306"/>
      <c r="D42" s="306"/>
      <c r="E42" s="306"/>
      <c r="F42" s="306"/>
      <c r="G42" s="306"/>
      <c r="H42" s="306"/>
      <c r="I42" s="306"/>
      <c r="J42" s="306"/>
      <c r="K42" s="306"/>
      <c r="L42" s="306"/>
      <c r="M42" s="306"/>
      <c r="N42" s="306"/>
      <c r="O42" s="306"/>
      <c r="P42" s="306"/>
      <c r="Q42" s="307"/>
      <c r="R42" s="76"/>
      <c r="S42" s="76"/>
      <c r="T42" s="45"/>
    </row>
    <row r="43" spans="1:20" s="85" customFormat="1" x14ac:dyDescent="0.35">
      <c r="A43" s="233" t="s">
        <v>13</v>
      </c>
      <c r="B43" s="233" t="s">
        <v>14</v>
      </c>
      <c r="C43" s="233" t="s">
        <v>15</v>
      </c>
      <c r="D43" s="233" t="s">
        <v>16</v>
      </c>
      <c r="E43" s="233" t="s">
        <v>595</v>
      </c>
      <c r="F43" s="233" t="s">
        <v>596</v>
      </c>
      <c r="G43" s="217" t="s">
        <v>597</v>
      </c>
      <c r="H43" s="233" t="s">
        <v>598</v>
      </c>
      <c r="I43" s="233" t="s">
        <v>599</v>
      </c>
      <c r="J43" s="233" t="s">
        <v>600</v>
      </c>
      <c r="K43" s="233" t="s">
        <v>601</v>
      </c>
      <c r="L43" s="233" t="s">
        <v>602</v>
      </c>
      <c r="M43" s="233" t="s">
        <v>603</v>
      </c>
      <c r="N43" s="233" t="s">
        <v>604</v>
      </c>
      <c r="O43" s="233" t="s">
        <v>605</v>
      </c>
      <c r="P43" s="233" t="s">
        <v>606</v>
      </c>
      <c r="Q43" s="233" t="s">
        <v>607</v>
      </c>
      <c r="R43" s="80" t="s">
        <v>608</v>
      </c>
      <c r="S43" s="80" t="s">
        <v>346</v>
      </c>
      <c r="T43" s="45"/>
    </row>
    <row r="44" spans="1:20" s="85" customFormat="1" ht="14.65" customHeight="1" x14ac:dyDescent="0.35">
      <c r="A44" s="246">
        <v>1</v>
      </c>
      <c r="B44" s="152" t="s">
        <v>643</v>
      </c>
      <c r="C44" s="246" t="s">
        <v>644</v>
      </c>
      <c r="D44" s="151" t="s">
        <v>29</v>
      </c>
      <c r="E44" s="151" t="s">
        <v>29</v>
      </c>
      <c r="F44" s="239" t="s">
        <v>611</v>
      </c>
      <c r="G44" s="221" t="s">
        <v>612</v>
      </c>
      <c r="H44" s="246">
        <v>2.6</v>
      </c>
      <c r="I44" s="246">
        <v>0.1</v>
      </c>
      <c r="J44" s="246">
        <v>2.6</v>
      </c>
      <c r="K44" s="246">
        <v>2.6</v>
      </c>
      <c r="L44" s="246">
        <v>2.6</v>
      </c>
      <c r="M44" s="246">
        <v>0.1</v>
      </c>
      <c r="N44" s="239" t="s">
        <v>25</v>
      </c>
      <c r="O44" s="239" t="s">
        <v>25</v>
      </c>
      <c r="P44" s="239" t="s">
        <v>25</v>
      </c>
      <c r="Q44" s="239" t="s">
        <v>25</v>
      </c>
      <c r="R44" s="239" t="s">
        <v>613</v>
      </c>
      <c r="S44" s="239" t="s">
        <v>25</v>
      </c>
      <c r="T44" s="45"/>
    </row>
    <row r="45" spans="1:20" s="85" customFormat="1" ht="14.65" customHeight="1" x14ac:dyDescent="0.35">
      <c r="A45" s="246">
        <v>2</v>
      </c>
      <c r="B45" s="152" t="s">
        <v>213</v>
      </c>
      <c r="C45" s="246" t="s">
        <v>645</v>
      </c>
      <c r="D45" s="151" t="s">
        <v>29</v>
      </c>
      <c r="E45" s="151" t="s">
        <v>29</v>
      </c>
      <c r="F45" s="239" t="s">
        <v>611</v>
      </c>
      <c r="G45" s="221" t="s">
        <v>612</v>
      </c>
      <c r="H45" s="246">
        <v>2.7</v>
      </c>
      <c r="I45" s="246">
        <v>0.1</v>
      </c>
      <c r="J45" s="246">
        <v>1.9</v>
      </c>
      <c r="K45" s="246">
        <v>1.9</v>
      </c>
      <c r="L45" s="246">
        <v>1.9</v>
      </c>
      <c r="M45" s="246">
        <v>0.1</v>
      </c>
      <c r="N45" s="239" t="s">
        <v>25</v>
      </c>
      <c r="O45" s="239" t="s">
        <v>25</v>
      </c>
      <c r="P45" s="239" t="s">
        <v>25</v>
      </c>
      <c r="Q45" s="239" t="s">
        <v>25</v>
      </c>
      <c r="R45" s="239" t="s">
        <v>613</v>
      </c>
      <c r="S45" s="239" t="s">
        <v>25</v>
      </c>
      <c r="T45" s="45"/>
    </row>
    <row r="46" spans="1:20" s="85" customFormat="1" ht="14.65" customHeight="1" x14ac:dyDescent="0.35">
      <c r="A46" s="246">
        <v>3</v>
      </c>
      <c r="B46" s="152" t="s">
        <v>646</v>
      </c>
      <c r="C46" s="246" t="s">
        <v>647</v>
      </c>
      <c r="D46" s="151" t="s">
        <v>29</v>
      </c>
      <c r="E46" s="151" t="s">
        <v>29</v>
      </c>
      <c r="F46" s="239" t="s">
        <v>611</v>
      </c>
      <c r="G46" s="221" t="s">
        <v>612</v>
      </c>
      <c r="H46" s="246">
        <v>2.8</v>
      </c>
      <c r="I46" s="246">
        <v>0.1</v>
      </c>
      <c r="J46" s="246">
        <v>2.8</v>
      </c>
      <c r="K46" s="246">
        <v>2.8</v>
      </c>
      <c r="L46" s="246">
        <v>2.8</v>
      </c>
      <c r="M46" s="246">
        <v>0.1</v>
      </c>
      <c r="N46" s="239" t="s">
        <v>25</v>
      </c>
      <c r="O46" s="239" t="s">
        <v>25</v>
      </c>
      <c r="P46" s="239" t="s">
        <v>25</v>
      </c>
      <c r="Q46" s="239" t="s">
        <v>25</v>
      </c>
      <c r="R46" s="239" t="s">
        <v>613</v>
      </c>
      <c r="S46" s="239" t="s">
        <v>25</v>
      </c>
      <c r="T46" s="45"/>
    </row>
    <row r="47" spans="1:20" s="85" customFormat="1" ht="14.65" customHeight="1" x14ac:dyDescent="0.35">
      <c r="A47" s="246">
        <v>4</v>
      </c>
      <c r="B47" s="152" t="s">
        <v>648</v>
      </c>
      <c r="C47" s="246" t="s">
        <v>649</v>
      </c>
      <c r="D47" s="151" t="s">
        <v>29</v>
      </c>
      <c r="E47" s="151" t="s">
        <v>29</v>
      </c>
      <c r="F47" s="239" t="s">
        <v>611</v>
      </c>
      <c r="G47" s="221" t="s">
        <v>612</v>
      </c>
      <c r="H47" s="246">
        <v>2.9</v>
      </c>
      <c r="I47" s="246">
        <v>0.1</v>
      </c>
      <c r="J47" s="246">
        <v>2.9</v>
      </c>
      <c r="K47" s="246">
        <v>2.9</v>
      </c>
      <c r="L47" s="246">
        <v>2.9</v>
      </c>
      <c r="M47" s="246">
        <v>0.1</v>
      </c>
      <c r="N47" s="239" t="s">
        <v>25</v>
      </c>
      <c r="O47" s="239" t="s">
        <v>25</v>
      </c>
      <c r="P47" s="239" t="s">
        <v>25</v>
      </c>
      <c r="Q47" s="239" t="s">
        <v>25</v>
      </c>
      <c r="R47" s="239" t="s">
        <v>613</v>
      </c>
      <c r="S47" s="239" t="s">
        <v>25</v>
      </c>
      <c r="T47" s="45"/>
    </row>
    <row r="48" spans="1:20" s="85" customFormat="1" x14ac:dyDescent="0.35">
      <c r="A48" s="231"/>
      <c r="B48" s="232"/>
      <c r="C48" s="232"/>
      <c r="D48" s="57"/>
      <c r="E48" s="57"/>
      <c r="F48" s="57"/>
      <c r="G48" s="57"/>
      <c r="H48" s="232"/>
      <c r="I48" s="232"/>
      <c r="J48" s="232"/>
      <c r="K48" s="232"/>
      <c r="L48" s="232"/>
      <c r="M48" s="232"/>
      <c r="N48" s="57"/>
      <c r="O48" s="57"/>
      <c r="P48" s="57"/>
      <c r="Q48" s="58"/>
      <c r="R48" s="56"/>
      <c r="S48" s="56"/>
      <c r="T48" s="76"/>
    </row>
    <row r="49" spans="1:22" s="138" customFormat="1" ht="14.65" customHeight="1" x14ac:dyDescent="0.35">
      <c r="F49" s="139" t="s">
        <v>650</v>
      </c>
    </row>
    <row r="50" spans="1:22" s="74" customFormat="1" ht="14.65" customHeight="1" x14ac:dyDescent="0.35">
      <c r="A50" s="312" t="s">
        <v>7</v>
      </c>
      <c r="B50" s="310"/>
      <c r="C50" s="310"/>
      <c r="D50" s="310"/>
      <c r="E50" s="310"/>
      <c r="F50" s="310"/>
      <c r="G50" s="310"/>
      <c r="H50" s="310"/>
      <c r="I50" s="310"/>
      <c r="J50" s="310"/>
      <c r="K50" s="311"/>
      <c r="L50" s="75"/>
      <c r="M50" s="75"/>
      <c r="N50" s="75"/>
    </row>
    <row r="51" spans="1:22" s="74" customFormat="1" x14ac:dyDescent="0.35">
      <c r="A51" s="59" t="s">
        <v>10</v>
      </c>
      <c r="B51" s="59" t="s">
        <v>11</v>
      </c>
      <c r="C51" s="59" t="s">
        <v>12</v>
      </c>
      <c r="D51" s="59" t="s">
        <v>13</v>
      </c>
      <c r="E51" s="59" t="s">
        <v>14</v>
      </c>
      <c r="F51" s="59" t="s">
        <v>15</v>
      </c>
      <c r="G51" s="59" t="s">
        <v>16</v>
      </c>
      <c r="H51" s="59" t="s">
        <v>17</v>
      </c>
      <c r="I51" s="59" t="s">
        <v>18</v>
      </c>
      <c r="J51" s="59" t="s">
        <v>19</v>
      </c>
      <c r="K51" s="59" t="s">
        <v>20</v>
      </c>
      <c r="L51" s="77"/>
      <c r="M51" s="77"/>
      <c r="N51" s="84"/>
    </row>
    <row r="52" spans="1:22" s="74" customFormat="1" x14ac:dyDescent="0.3">
      <c r="A52" s="245" t="s">
        <v>590</v>
      </c>
      <c r="B52" s="240" t="s">
        <v>159</v>
      </c>
      <c r="C52" s="240">
        <v>0</v>
      </c>
      <c r="D52" s="245" t="s">
        <v>651</v>
      </c>
      <c r="E52" s="245" t="s">
        <v>650</v>
      </c>
      <c r="F52" s="245" t="s">
        <v>652</v>
      </c>
      <c r="G52" s="151" t="s">
        <v>29</v>
      </c>
      <c r="H52" s="245" t="s">
        <v>593</v>
      </c>
      <c r="I52" s="245"/>
      <c r="J52" s="245"/>
      <c r="K52" s="60">
        <v>36892</v>
      </c>
      <c r="L52" s="79"/>
      <c r="M52" s="79"/>
      <c r="N52" s="78"/>
    </row>
    <row r="53" spans="1:22" s="138" customFormat="1" ht="14.65" customHeight="1" x14ac:dyDescent="0.35"/>
    <row r="54" spans="1:22" s="74" customFormat="1" ht="14.65" customHeight="1" x14ac:dyDescent="0.35">
      <c r="A54" s="316" t="s">
        <v>36</v>
      </c>
      <c r="B54" s="306"/>
      <c r="C54" s="306"/>
      <c r="D54" s="306"/>
      <c r="E54" s="306"/>
      <c r="F54" s="306"/>
      <c r="G54" s="306"/>
      <c r="H54" s="306"/>
      <c r="I54" s="306"/>
      <c r="J54" s="306"/>
      <c r="K54" s="306"/>
      <c r="L54" s="306"/>
      <c r="M54" s="306"/>
      <c r="N54" s="306"/>
      <c r="O54" s="306"/>
      <c r="P54" s="306"/>
      <c r="Q54" s="307"/>
      <c r="R54" s="75"/>
      <c r="S54" s="75"/>
      <c r="T54" s="44"/>
    </row>
    <row r="55" spans="1:22" s="74" customFormat="1" x14ac:dyDescent="0.35">
      <c r="A55" s="59" t="s">
        <v>13</v>
      </c>
      <c r="B55" s="59" t="s">
        <v>14</v>
      </c>
      <c r="C55" s="59" t="s">
        <v>15</v>
      </c>
      <c r="D55" s="59" t="s">
        <v>16</v>
      </c>
      <c r="E55" s="59" t="s">
        <v>595</v>
      </c>
      <c r="F55" s="59" t="s">
        <v>596</v>
      </c>
      <c r="G55" s="217" t="s">
        <v>597</v>
      </c>
      <c r="H55" s="59" t="s">
        <v>598</v>
      </c>
      <c r="I55" s="59" t="s">
        <v>599</v>
      </c>
      <c r="J55" s="59" t="s">
        <v>600</v>
      </c>
      <c r="K55" s="59" t="s">
        <v>601</v>
      </c>
      <c r="L55" s="59" t="s">
        <v>602</v>
      </c>
      <c r="M55" s="59" t="s">
        <v>603</v>
      </c>
      <c r="N55" s="59" t="s">
        <v>604</v>
      </c>
      <c r="O55" s="59" t="s">
        <v>605</v>
      </c>
      <c r="P55" s="59" t="s">
        <v>606</v>
      </c>
      <c r="Q55" s="59" t="s">
        <v>607</v>
      </c>
      <c r="R55" s="77" t="s">
        <v>608</v>
      </c>
      <c r="S55" s="77" t="s">
        <v>346</v>
      </c>
      <c r="T55" s="44"/>
    </row>
    <row r="56" spans="1:22" s="74" customFormat="1" x14ac:dyDescent="0.3">
      <c r="A56" s="245">
        <v>1</v>
      </c>
      <c r="B56" s="140" t="s">
        <v>653</v>
      </c>
      <c r="C56" s="245" t="s">
        <v>654</v>
      </c>
      <c r="D56" s="151" t="s">
        <v>29</v>
      </c>
      <c r="E56" s="151" t="s">
        <v>29</v>
      </c>
      <c r="F56" s="238" t="s">
        <v>611</v>
      </c>
      <c r="G56" s="220" t="s">
        <v>612</v>
      </c>
      <c r="H56" s="245">
        <v>24</v>
      </c>
      <c r="I56" s="245">
        <v>2</v>
      </c>
      <c r="J56" s="245">
        <v>24</v>
      </c>
      <c r="K56" s="245">
        <v>24</v>
      </c>
      <c r="L56" s="245">
        <v>24</v>
      </c>
      <c r="M56" s="245">
        <v>2</v>
      </c>
      <c r="N56" s="238" t="s">
        <v>25</v>
      </c>
      <c r="O56" s="238" t="s">
        <v>25</v>
      </c>
      <c r="P56" s="238" t="s">
        <v>25</v>
      </c>
      <c r="Q56" s="238" t="s">
        <v>25</v>
      </c>
      <c r="R56" s="238" t="s">
        <v>613</v>
      </c>
      <c r="S56" s="238" t="s">
        <v>25</v>
      </c>
      <c r="T56" s="44"/>
    </row>
    <row r="57" spans="1:22" s="74" customFormat="1" x14ac:dyDescent="0.3">
      <c r="A57" s="245">
        <v>2</v>
      </c>
      <c r="B57" s="140" t="s">
        <v>655</v>
      </c>
      <c r="C57" s="245" t="s">
        <v>656</v>
      </c>
      <c r="D57" s="151" t="s">
        <v>29</v>
      </c>
      <c r="E57" s="151" t="s">
        <v>29</v>
      </c>
      <c r="F57" s="238" t="s">
        <v>611</v>
      </c>
      <c r="G57" s="220" t="s">
        <v>612</v>
      </c>
      <c r="H57" s="245">
        <v>24</v>
      </c>
      <c r="I57" s="245">
        <v>3</v>
      </c>
      <c r="J57" s="245">
        <v>24</v>
      </c>
      <c r="K57" s="245">
        <v>24</v>
      </c>
      <c r="L57" s="245">
        <v>24</v>
      </c>
      <c r="M57" s="245">
        <v>3</v>
      </c>
      <c r="N57" s="238" t="s">
        <v>25</v>
      </c>
      <c r="O57" s="238" t="s">
        <v>25</v>
      </c>
      <c r="P57" s="238" t="s">
        <v>25</v>
      </c>
      <c r="Q57" s="238" t="s">
        <v>25</v>
      </c>
      <c r="R57" s="238" t="s">
        <v>613</v>
      </c>
      <c r="S57" s="238" t="s">
        <v>25</v>
      </c>
      <c r="T57" s="44"/>
    </row>
    <row r="58" spans="1:22" s="74" customFormat="1" x14ac:dyDescent="0.3">
      <c r="A58" s="245">
        <v>3</v>
      </c>
      <c r="B58" s="140" t="s">
        <v>657</v>
      </c>
      <c r="C58" s="245" t="s">
        <v>658</v>
      </c>
      <c r="D58" s="151" t="s">
        <v>29</v>
      </c>
      <c r="E58" s="151" t="s">
        <v>29</v>
      </c>
      <c r="F58" s="238" t="s">
        <v>611</v>
      </c>
      <c r="G58" s="220" t="s">
        <v>612</v>
      </c>
      <c r="H58" s="245">
        <v>30</v>
      </c>
      <c r="I58" s="245">
        <v>3</v>
      </c>
      <c r="J58" s="245">
        <v>30</v>
      </c>
      <c r="K58" s="245">
        <v>30</v>
      </c>
      <c r="L58" s="245">
        <v>30</v>
      </c>
      <c r="M58" s="245">
        <v>3</v>
      </c>
      <c r="N58" s="238" t="s">
        <v>25</v>
      </c>
      <c r="O58" s="238" t="s">
        <v>25</v>
      </c>
      <c r="P58" s="238" t="s">
        <v>25</v>
      </c>
      <c r="Q58" s="238" t="s">
        <v>25</v>
      </c>
      <c r="R58" s="238" t="s">
        <v>613</v>
      </c>
      <c r="S58" s="238" t="s">
        <v>25</v>
      </c>
      <c r="T58" s="44"/>
    </row>
    <row r="59" spans="1:22" s="74" customFormat="1" x14ac:dyDescent="0.3">
      <c r="A59" s="245">
        <v>4</v>
      </c>
      <c r="B59" s="140" t="s">
        <v>659</v>
      </c>
      <c r="C59" s="245" t="s">
        <v>660</v>
      </c>
      <c r="D59" s="174" t="s">
        <v>25</v>
      </c>
      <c r="E59" s="174" t="s">
        <v>25</v>
      </c>
      <c r="F59" s="238" t="s">
        <v>611</v>
      </c>
      <c r="G59" s="220" t="s">
        <v>612</v>
      </c>
      <c r="H59" s="245">
        <v>1</v>
      </c>
      <c r="I59" s="245">
        <v>0.5</v>
      </c>
      <c r="J59" s="245">
        <v>1</v>
      </c>
      <c r="K59" s="245">
        <v>1</v>
      </c>
      <c r="L59" s="245">
        <v>1</v>
      </c>
      <c r="M59" s="245">
        <v>0.5</v>
      </c>
      <c r="N59" s="238" t="s">
        <v>25</v>
      </c>
      <c r="O59" s="238" t="s">
        <v>25</v>
      </c>
      <c r="P59" s="238" t="s">
        <v>25</v>
      </c>
      <c r="Q59" s="238" t="s">
        <v>25</v>
      </c>
      <c r="R59" s="238" t="s">
        <v>613</v>
      </c>
      <c r="S59" s="238" t="s">
        <v>25</v>
      </c>
      <c r="T59" s="44"/>
    </row>
    <row r="60" spans="1:22" s="74" customFormat="1" ht="13.4" customHeight="1" thickBot="1" x14ac:dyDescent="0.4">
      <c r="A60" s="229"/>
      <c r="B60" s="230"/>
      <c r="C60" s="230"/>
      <c r="D60" s="54"/>
      <c r="E60" s="54"/>
      <c r="F60" s="54"/>
      <c r="G60" s="54"/>
      <c r="H60" s="230"/>
      <c r="I60" s="230"/>
      <c r="J60" s="230"/>
      <c r="K60" s="230"/>
      <c r="L60" s="230"/>
      <c r="M60" s="230"/>
      <c r="N60" s="54"/>
      <c r="O60" s="54"/>
      <c r="P60" s="54"/>
      <c r="Q60" s="55"/>
      <c r="R60" s="53"/>
      <c r="S60" s="53"/>
      <c r="T60" s="75"/>
    </row>
    <row r="61" spans="1:22" ht="13.4" customHeight="1" thickTop="1" x14ac:dyDescent="0.35">
      <c r="A61" s="68"/>
      <c r="B61" s="68"/>
      <c r="C61" s="68"/>
      <c r="D61" s="68"/>
      <c r="E61" s="68"/>
      <c r="F61" s="133" t="s">
        <v>661</v>
      </c>
      <c r="G61" s="68"/>
      <c r="H61" s="68"/>
      <c r="I61" s="68"/>
      <c r="J61" s="68"/>
      <c r="K61" s="68"/>
      <c r="L61" s="68"/>
      <c r="M61" s="68"/>
      <c r="N61" s="71"/>
      <c r="O61" s="68"/>
      <c r="P61" s="68"/>
      <c r="Q61" s="68"/>
      <c r="R61" s="68"/>
      <c r="S61" s="68"/>
      <c r="T61" s="68"/>
      <c r="U61" s="85"/>
      <c r="V61" s="64"/>
    </row>
    <row r="62" spans="1:22" ht="14.65" customHeight="1" x14ac:dyDescent="0.35">
      <c r="A62" s="317" t="s">
        <v>7</v>
      </c>
      <c r="B62" s="306"/>
      <c r="C62" s="306"/>
      <c r="D62" s="306"/>
      <c r="E62" s="306"/>
      <c r="F62" s="306"/>
      <c r="G62" s="306"/>
      <c r="H62" s="306"/>
      <c r="I62" s="306"/>
      <c r="J62" s="306"/>
      <c r="K62" s="307"/>
      <c r="L62" s="76"/>
      <c r="M62" s="76"/>
      <c r="N62" s="76"/>
      <c r="O62" s="85"/>
      <c r="P62" s="85"/>
      <c r="Q62" s="85"/>
      <c r="R62" s="85"/>
      <c r="S62" s="85"/>
      <c r="T62" s="85"/>
      <c r="U62" s="85"/>
      <c r="V62" s="64"/>
    </row>
    <row r="63" spans="1:22" x14ac:dyDescent="0.35">
      <c r="A63" s="233" t="s">
        <v>10</v>
      </c>
      <c r="B63" s="233" t="s">
        <v>11</v>
      </c>
      <c r="C63" s="233" t="s">
        <v>12</v>
      </c>
      <c r="D63" s="233" t="s">
        <v>13</v>
      </c>
      <c r="E63" s="233" t="s">
        <v>14</v>
      </c>
      <c r="F63" s="233" t="s">
        <v>15</v>
      </c>
      <c r="G63" s="233" t="s">
        <v>16</v>
      </c>
      <c r="H63" s="233" t="s">
        <v>17</v>
      </c>
      <c r="I63" s="233" t="s">
        <v>18</v>
      </c>
      <c r="J63" s="233" t="s">
        <v>19</v>
      </c>
      <c r="K63" s="233" t="s">
        <v>20</v>
      </c>
      <c r="L63" s="80"/>
      <c r="M63" s="80"/>
      <c r="N63" s="81"/>
      <c r="O63" s="85"/>
      <c r="P63" s="85"/>
      <c r="Q63" s="85"/>
      <c r="R63" s="85"/>
      <c r="S63" s="85"/>
      <c r="T63" s="85"/>
      <c r="U63" s="85"/>
      <c r="V63" s="64"/>
    </row>
    <row r="64" spans="1:22" x14ac:dyDescent="0.3">
      <c r="A64" s="246" t="s">
        <v>662</v>
      </c>
      <c r="B64" s="241" t="s">
        <v>159</v>
      </c>
      <c r="C64" s="241">
        <v>0</v>
      </c>
      <c r="D64" s="246" t="s">
        <v>663</v>
      </c>
      <c r="E64" s="246" t="s">
        <v>661</v>
      </c>
      <c r="F64" s="131" t="s">
        <v>664</v>
      </c>
      <c r="G64" s="151" t="s">
        <v>29</v>
      </c>
      <c r="H64" s="246" t="s">
        <v>665</v>
      </c>
      <c r="I64" s="246"/>
      <c r="J64" s="246"/>
      <c r="K64" s="65">
        <v>36892</v>
      </c>
      <c r="L64" s="82"/>
      <c r="M64" s="82"/>
      <c r="N64" s="83"/>
      <c r="O64" s="85"/>
      <c r="P64" s="85"/>
      <c r="Q64" s="85"/>
      <c r="R64" s="85"/>
      <c r="S64" s="85"/>
      <c r="T64" s="85"/>
      <c r="U64" s="85"/>
      <c r="V64" s="64"/>
    </row>
    <row r="65" spans="1:22" x14ac:dyDescent="0.35">
      <c r="A65" s="85"/>
      <c r="B65" s="85"/>
      <c r="C65" s="85"/>
      <c r="D65" s="85"/>
      <c r="E65" s="85"/>
      <c r="F65" s="85"/>
      <c r="G65" s="85"/>
      <c r="H65" s="85"/>
      <c r="I65" s="85"/>
      <c r="J65" s="85"/>
      <c r="K65" s="85"/>
      <c r="L65" s="85"/>
      <c r="M65" s="85"/>
      <c r="N65" s="83"/>
      <c r="O65" s="85"/>
      <c r="P65" s="85"/>
      <c r="Q65" s="85"/>
      <c r="R65" s="85"/>
      <c r="S65" s="85"/>
      <c r="T65" s="86"/>
      <c r="U65" s="85"/>
      <c r="V65" s="64"/>
    </row>
    <row r="66" spans="1:22" ht="14.65" customHeight="1" x14ac:dyDescent="0.35">
      <c r="A66" s="317" t="s">
        <v>36</v>
      </c>
      <c r="B66" s="306"/>
      <c r="C66" s="306"/>
      <c r="D66" s="306"/>
      <c r="E66" s="306"/>
      <c r="F66" s="306"/>
      <c r="G66" s="306"/>
      <c r="H66" s="306"/>
      <c r="I66" s="306"/>
      <c r="J66" s="306"/>
      <c r="K66" s="306"/>
      <c r="L66" s="306"/>
      <c r="M66" s="306"/>
      <c r="N66" s="306"/>
      <c r="O66" s="306"/>
      <c r="P66" s="306"/>
      <c r="Q66" s="306"/>
      <c r="R66" s="306"/>
      <c r="S66" s="306"/>
      <c r="T66" s="307"/>
      <c r="U66" s="85"/>
      <c r="V66" s="64"/>
    </row>
    <row r="67" spans="1:22" x14ac:dyDescent="0.35">
      <c r="A67" s="233" t="s">
        <v>13</v>
      </c>
      <c r="B67" s="233" t="s">
        <v>14</v>
      </c>
      <c r="C67" s="233" t="s">
        <v>15</v>
      </c>
      <c r="D67" s="233" t="s">
        <v>16</v>
      </c>
      <c r="E67" s="233" t="s">
        <v>595</v>
      </c>
      <c r="F67" s="233" t="s">
        <v>596</v>
      </c>
      <c r="G67" s="217" t="s">
        <v>597</v>
      </c>
      <c r="H67" s="233" t="s">
        <v>598</v>
      </c>
      <c r="I67" s="233" t="s">
        <v>599</v>
      </c>
      <c r="J67" s="233" t="s">
        <v>600</v>
      </c>
      <c r="K67" s="233" t="s">
        <v>601</v>
      </c>
      <c r="L67" s="233" t="s">
        <v>602</v>
      </c>
      <c r="M67" s="233" t="s">
        <v>603</v>
      </c>
      <c r="N67" s="233" t="s">
        <v>604</v>
      </c>
      <c r="O67" s="233" t="s">
        <v>605</v>
      </c>
      <c r="P67" s="233" t="s">
        <v>606</v>
      </c>
      <c r="Q67" s="233" t="s">
        <v>607</v>
      </c>
      <c r="R67" s="233" t="s">
        <v>666</v>
      </c>
      <c r="S67" s="233" t="s">
        <v>667</v>
      </c>
      <c r="T67" s="233" t="s">
        <v>668</v>
      </c>
      <c r="U67" s="85"/>
      <c r="V67" s="64"/>
    </row>
    <row r="68" spans="1:22" x14ac:dyDescent="0.35">
      <c r="A68" s="246" t="s">
        <v>663</v>
      </c>
      <c r="B68" s="246" t="s">
        <v>669</v>
      </c>
      <c r="C68" s="131" t="s">
        <v>664</v>
      </c>
      <c r="D68" s="151" t="s">
        <v>29</v>
      </c>
      <c r="E68" s="151" t="s">
        <v>29</v>
      </c>
      <c r="F68" s="239" t="s">
        <v>611</v>
      </c>
      <c r="G68" s="222" t="s">
        <v>612</v>
      </c>
      <c r="H68" s="246">
        <v>1</v>
      </c>
      <c r="I68" s="246">
        <v>0.1</v>
      </c>
      <c r="J68" s="246">
        <v>1</v>
      </c>
      <c r="K68" s="246">
        <v>1</v>
      </c>
      <c r="L68" s="246">
        <v>1</v>
      </c>
      <c r="M68" s="246">
        <v>0.1</v>
      </c>
      <c r="N68" s="239" t="s">
        <v>25</v>
      </c>
      <c r="O68" s="239" t="s">
        <v>25</v>
      </c>
      <c r="P68" s="239" t="s">
        <v>25</v>
      </c>
      <c r="Q68" s="239" t="s">
        <v>25</v>
      </c>
      <c r="R68" s="239" t="s">
        <v>25</v>
      </c>
      <c r="S68" s="239" t="s">
        <v>25</v>
      </c>
      <c r="T68" s="239" t="s">
        <v>25</v>
      </c>
      <c r="U68" s="85"/>
      <c r="V68" s="64"/>
    </row>
    <row r="69" spans="1:22" ht="13.4" customHeight="1" thickBot="1" x14ac:dyDescent="0.4">
      <c r="A69" s="66"/>
      <c r="B69" s="66"/>
      <c r="C69" s="66"/>
      <c r="D69" s="66"/>
      <c r="E69" s="66"/>
      <c r="F69" s="66"/>
      <c r="G69" s="66"/>
      <c r="H69" s="66"/>
      <c r="I69" s="66"/>
      <c r="J69" s="66"/>
      <c r="K69" s="66"/>
      <c r="L69" s="66"/>
      <c r="M69" s="66"/>
      <c r="N69" s="72"/>
      <c r="O69" s="66"/>
      <c r="P69" s="66"/>
      <c r="Q69" s="66"/>
      <c r="R69" s="66"/>
      <c r="S69" s="66"/>
      <c r="T69" s="67"/>
      <c r="U69" s="66"/>
      <c r="V69" s="67"/>
    </row>
    <row r="70" spans="1:22" ht="13.4" customHeight="1" thickTop="1" x14ac:dyDescent="0.35">
      <c r="A70" s="69"/>
      <c r="B70" s="69"/>
      <c r="C70" s="69"/>
      <c r="D70" s="69"/>
      <c r="E70" s="69"/>
      <c r="F70" s="134" t="s">
        <v>670</v>
      </c>
      <c r="G70" s="69"/>
      <c r="H70" s="69"/>
      <c r="I70" s="69"/>
      <c r="J70" s="69"/>
      <c r="K70" s="69"/>
      <c r="L70" s="69"/>
      <c r="M70" s="69"/>
      <c r="N70" s="73"/>
      <c r="O70" s="69"/>
      <c r="P70" s="69"/>
      <c r="Q70" s="69"/>
      <c r="R70" s="69"/>
      <c r="S70" s="69"/>
      <c r="T70" s="74"/>
      <c r="U70" s="74"/>
      <c r="V70" s="61"/>
    </row>
    <row r="71" spans="1:22" ht="14.65" customHeight="1" x14ac:dyDescent="0.35">
      <c r="A71" s="316" t="s">
        <v>7</v>
      </c>
      <c r="B71" s="306"/>
      <c r="C71" s="306"/>
      <c r="D71" s="306"/>
      <c r="E71" s="306"/>
      <c r="F71" s="306"/>
      <c r="G71" s="306"/>
      <c r="H71" s="306"/>
      <c r="I71" s="306"/>
      <c r="J71" s="306"/>
      <c r="K71" s="307"/>
      <c r="L71" s="75"/>
      <c r="M71" s="75"/>
      <c r="N71" s="75"/>
      <c r="O71" s="74"/>
      <c r="P71" s="74"/>
      <c r="Q71" s="74"/>
      <c r="R71" s="74"/>
      <c r="S71" s="74"/>
      <c r="T71" s="74"/>
      <c r="U71" s="74"/>
      <c r="V71" s="61"/>
    </row>
    <row r="72" spans="1:22" x14ac:dyDescent="0.35">
      <c r="A72" s="59" t="s">
        <v>10</v>
      </c>
      <c r="B72" s="59" t="s">
        <v>11</v>
      </c>
      <c r="C72" s="59" t="s">
        <v>12</v>
      </c>
      <c r="D72" s="59" t="s">
        <v>13</v>
      </c>
      <c r="E72" s="59" t="s">
        <v>14</v>
      </c>
      <c r="F72" s="59" t="s">
        <v>15</v>
      </c>
      <c r="G72" s="59" t="s">
        <v>16</v>
      </c>
      <c r="H72" s="59" t="s">
        <v>17</v>
      </c>
      <c r="I72" s="59" t="s">
        <v>18</v>
      </c>
      <c r="J72" s="59" t="s">
        <v>19</v>
      </c>
      <c r="K72" s="59" t="s">
        <v>20</v>
      </c>
      <c r="L72" s="77"/>
      <c r="M72" s="77"/>
      <c r="N72" s="84"/>
      <c r="O72" s="74"/>
      <c r="P72" s="74"/>
      <c r="Q72" s="74"/>
      <c r="R72" s="74"/>
      <c r="S72" s="74"/>
      <c r="T72" s="74"/>
      <c r="U72" s="74"/>
      <c r="V72" s="61"/>
    </row>
    <row r="73" spans="1:22" x14ac:dyDescent="0.3">
      <c r="A73" s="245" t="s">
        <v>662</v>
      </c>
      <c r="B73" s="240" t="s">
        <v>159</v>
      </c>
      <c r="C73" s="240">
        <v>0</v>
      </c>
      <c r="D73" s="245" t="s">
        <v>671</v>
      </c>
      <c r="E73" s="245" t="s">
        <v>670</v>
      </c>
      <c r="F73" s="132" t="s">
        <v>672</v>
      </c>
      <c r="G73" s="151" t="s">
        <v>29</v>
      </c>
      <c r="H73" s="245" t="s">
        <v>665</v>
      </c>
      <c r="I73" s="245"/>
      <c r="J73" s="245"/>
      <c r="K73" s="60">
        <v>36892</v>
      </c>
      <c r="L73" s="79"/>
      <c r="M73" s="79"/>
      <c r="N73" s="78"/>
      <c r="O73" s="74"/>
      <c r="P73" s="74"/>
      <c r="Q73" s="74"/>
      <c r="R73" s="74"/>
      <c r="S73" s="74"/>
      <c r="T73" s="74"/>
      <c r="U73" s="74"/>
      <c r="V73" s="61"/>
    </row>
    <row r="74" spans="1:22" x14ac:dyDescent="0.35">
      <c r="A74" s="74"/>
      <c r="B74" s="74"/>
      <c r="C74" s="74"/>
      <c r="D74" s="74"/>
      <c r="E74" s="74"/>
      <c r="F74" s="74"/>
      <c r="G74" s="74"/>
      <c r="H74" s="74"/>
      <c r="I74" s="74"/>
      <c r="J74" s="74"/>
      <c r="K74" s="74"/>
      <c r="L74" s="74"/>
      <c r="M74" s="74"/>
      <c r="N74" s="78"/>
      <c r="O74" s="74"/>
      <c r="P74" s="74"/>
      <c r="Q74" s="74"/>
      <c r="R74" s="74"/>
      <c r="S74" s="74"/>
      <c r="T74" s="74"/>
      <c r="U74" s="74"/>
      <c r="V74" s="61"/>
    </row>
    <row r="75" spans="1:22" ht="14.65" customHeight="1" x14ac:dyDescent="0.35">
      <c r="A75" s="316" t="s">
        <v>36</v>
      </c>
      <c r="B75" s="306"/>
      <c r="C75" s="306"/>
      <c r="D75" s="306"/>
      <c r="E75" s="306"/>
      <c r="F75" s="306"/>
      <c r="G75" s="306"/>
      <c r="H75" s="306"/>
      <c r="I75" s="306"/>
      <c r="J75" s="306"/>
      <c r="K75" s="306"/>
      <c r="L75" s="306"/>
      <c r="M75" s="306"/>
      <c r="N75" s="306"/>
      <c r="O75" s="306"/>
      <c r="P75" s="306"/>
      <c r="Q75" s="306"/>
      <c r="R75" s="306"/>
      <c r="S75" s="306"/>
      <c r="T75" s="307"/>
      <c r="U75" s="74"/>
      <c r="V75" s="61"/>
    </row>
    <row r="76" spans="1:22" x14ac:dyDescent="0.35">
      <c r="A76" s="59" t="s">
        <v>13</v>
      </c>
      <c r="B76" s="59" t="s">
        <v>14</v>
      </c>
      <c r="C76" s="59" t="s">
        <v>15</v>
      </c>
      <c r="D76" s="59" t="s">
        <v>16</v>
      </c>
      <c r="E76" s="59" t="s">
        <v>595</v>
      </c>
      <c r="F76" s="59" t="s">
        <v>596</v>
      </c>
      <c r="G76" s="217" t="s">
        <v>597</v>
      </c>
      <c r="H76" s="59" t="s">
        <v>598</v>
      </c>
      <c r="I76" s="59" t="s">
        <v>599</v>
      </c>
      <c r="J76" s="59" t="s">
        <v>600</v>
      </c>
      <c r="K76" s="59" t="s">
        <v>601</v>
      </c>
      <c r="L76" s="59" t="s">
        <v>602</v>
      </c>
      <c r="M76" s="59" t="s">
        <v>603</v>
      </c>
      <c r="N76" s="59" t="s">
        <v>604</v>
      </c>
      <c r="O76" s="59" t="s">
        <v>605</v>
      </c>
      <c r="P76" s="59" t="s">
        <v>606</v>
      </c>
      <c r="Q76" s="59" t="s">
        <v>607</v>
      </c>
      <c r="R76" s="59" t="s">
        <v>666</v>
      </c>
      <c r="S76" s="59" t="s">
        <v>667</v>
      </c>
      <c r="T76" s="59" t="s">
        <v>668</v>
      </c>
      <c r="U76" s="74"/>
      <c r="V76" s="61"/>
    </row>
    <row r="77" spans="1:22" x14ac:dyDescent="0.35">
      <c r="A77" s="245" t="s">
        <v>671</v>
      </c>
      <c r="B77" s="245" t="s">
        <v>673</v>
      </c>
      <c r="C77" s="132" t="s">
        <v>672</v>
      </c>
      <c r="D77" s="151" t="s">
        <v>29</v>
      </c>
      <c r="E77" s="151" t="s">
        <v>29</v>
      </c>
      <c r="F77" s="238" t="s">
        <v>611</v>
      </c>
      <c r="G77" s="223" t="s">
        <v>612</v>
      </c>
      <c r="H77" s="245">
        <v>1.1000000000000001</v>
      </c>
      <c r="I77" s="245">
        <v>0.1</v>
      </c>
      <c r="J77" s="245">
        <v>1.1000000000000001</v>
      </c>
      <c r="K77" s="245">
        <v>1.1000000000000001</v>
      </c>
      <c r="L77" s="245">
        <v>1.1000000000000001</v>
      </c>
      <c r="M77" s="245">
        <v>0.1</v>
      </c>
      <c r="N77" s="238" t="s">
        <v>25</v>
      </c>
      <c r="O77" s="238" t="s">
        <v>25</v>
      </c>
      <c r="P77" s="238" t="s">
        <v>25</v>
      </c>
      <c r="Q77" s="238" t="s">
        <v>25</v>
      </c>
      <c r="R77" s="238" t="s">
        <v>25</v>
      </c>
      <c r="S77" s="238" t="s">
        <v>25</v>
      </c>
      <c r="T77" s="238" t="s">
        <v>25</v>
      </c>
      <c r="U77" s="74"/>
      <c r="V77" s="61"/>
    </row>
    <row r="78" spans="1:22" ht="13.4" customHeight="1" thickBot="1" x14ac:dyDescent="0.4">
      <c r="A78" s="62"/>
      <c r="B78" s="62"/>
      <c r="C78" s="62"/>
      <c r="D78" s="62"/>
      <c r="E78" s="62"/>
      <c r="F78" s="62"/>
      <c r="G78" s="62"/>
      <c r="H78" s="62"/>
      <c r="I78" s="62"/>
      <c r="J78" s="62"/>
      <c r="K78" s="62"/>
      <c r="L78" s="62"/>
      <c r="M78" s="62"/>
      <c r="N78" s="70"/>
      <c r="O78" s="62"/>
      <c r="P78" s="62"/>
      <c r="Q78" s="62"/>
      <c r="R78" s="62"/>
      <c r="S78" s="62"/>
      <c r="T78" s="63"/>
      <c r="U78" s="62"/>
      <c r="V78" s="63"/>
    </row>
    <row r="79" spans="1:22" ht="13.4" customHeight="1" thickTop="1" x14ac:dyDescent="0.35">
      <c r="A79" s="68"/>
      <c r="B79" s="68"/>
      <c r="C79" s="68"/>
      <c r="D79" s="68"/>
      <c r="E79" s="68"/>
      <c r="F79" s="133" t="s">
        <v>674</v>
      </c>
      <c r="G79" s="68"/>
      <c r="H79" s="68"/>
      <c r="I79" s="68"/>
      <c r="J79" s="68"/>
      <c r="K79" s="68"/>
      <c r="L79" s="68"/>
      <c r="M79" s="68"/>
      <c r="N79" s="71"/>
      <c r="O79" s="68"/>
      <c r="P79" s="68"/>
      <c r="Q79" s="68"/>
      <c r="R79" s="68"/>
      <c r="S79" s="68"/>
      <c r="T79" s="68"/>
      <c r="U79" s="85"/>
      <c r="V79" s="64"/>
    </row>
    <row r="80" spans="1:22" ht="14.65" customHeight="1" x14ac:dyDescent="0.35">
      <c r="A80" s="317" t="s">
        <v>7</v>
      </c>
      <c r="B80" s="306"/>
      <c r="C80" s="306"/>
      <c r="D80" s="306"/>
      <c r="E80" s="306"/>
      <c r="F80" s="306"/>
      <c r="G80" s="306"/>
      <c r="H80" s="306"/>
      <c r="I80" s="306"/>
      <c r="J80" s="306"/>
      <c r="K80" s="307"/>
      <c r="L80" s="76"/>
      <c r="M80" s="76"/>
      <c r="N80" s="76"/>
      <c r="O80" s="85"/>
      <c r="P80" s="85"/>
      <c r="Q80" s="85"/>
      <c r="R80" s="85"/>
      <c r="S80" s="85"/>
      <c r="T80" s="85"/>
      <c r="U80" s="85"/>
      <c r="V80" s="64"/>
    </row>
    <row r="81" spans="1:22" x14ac:dyDescent="0.35">
      <c r="A81" s="233" t="s">
        <v>10</v>
      </c>
      <c r="B81" s="233" t="s">
        <v>11</v>
      </c>
      <c r="C81" s="233" t="s">
        <v>12</v>
      </c>
      <c r="D81" s="233" t="s">
        <v>13</v>
      </c>
      <c r="E81" s="233" t="s">
        <v>14</v>
      </c>
      <c r="F81" s="233" t="s">
        <v>15</v>
      </c>
      <c r="G81" s="233" t="s">
        <v>16</v>
      </c>
      <c r="H81" s="233" t="s">
        <v>17</v>
      </c>
      <c r="I81" s="233" t="s">
        <v>18</v>
      </c>
      <c r="J81" s="233" t="s">
        <v>19</v>
      </c>
      <c r="K81" s="233" t="s">
        <v>20</v>
      </c>
      <c r="L81" s="80"/>
      <c r="M81" s="80"/>
      <c r="N81" s="81"/>
      <c r="O81" s="85"/>
      <c r="P81" s="85"/>
      <c r="Q81" s="85"/>
      <c r="R81" s="85"/>
      <c r="S81" s="85"/>
      <c r="T81" s="85"/>
      <c r="U81" s="85"/>
      <c r="V81" s="64"/>
    </row>
    <row r="82" spans="1:22" x14ac:dyDescent="0.3">
      <c r="A82" s="246" t="s">
        <v>662</v>
      </c>
      <c r="B82" s="241" t="s">
        <v>159</v>
      </c>
      <c r="C82" s="241">
        <v>0</v>
      </c>
      <c r="D82" s="246" t="s">
        <v>675</v>
      </c>
      <c r="E82" s="246" t="s">
        <v>674</v>
      </c>
      <c r="F82" s="246" t="s">
        <v>676</v>
      </c>
      <c r="G82" s="151" t="s">
        <v>29</v>
      </c>
      <c r="H82" s="246" t="s">
        <v>665</v>
      </c>
      <c r="I82" s="246"/>
      <c r="J82" s="246"/>
      <c r="K82" s="65">
        <v>36892</v>
      </c>
      <c r="L82" s="82"/>
      <c r="M82" s="82"/>
      <c r="N82" s="83"/>
      <c r="O82" s="85"/>
      <c r="P82" s="85"/>
      <c r="Q82" s="85"/>
      <c r="R82" s="85"/>
      <c r="S82" s="85"/>
      <c r="T82" s="85"/>
      <c r="U82" s="85"/>
      <c r="V82" s="64"/>
    </row>
    <row r="83" spans="1:22" x14ac:dyDescent="0.35">
      <c r="A83" s="85"/>
      <c r="B83" s="85"/>
      <c r="C83" s="85"/>
      <c r="D83" s="85"/>
      <c r="E83" s="85"/>
      <c r="F83" s="85"/>
      <c r="G83" s="85"/>
      <c r="H83" s="85"/>
      <c r="I83" s="85"/>
      <c r="J83" s="85"/>
      <c r="K83" s="85"/>
      <c r="L83" s="85"/>
      <c r="M83" s="85"/>
      <c r="N83" s="83"/>
      <c r="O83" s="85"/>
      <c r="P83" s="85"/>
      <c r="Q83" s="85"/>
      <c r="R83" s="85"/>
      <c r="S83" s="85"/>
      <c r="T83" s="86"/>
      <c r="U83" s="85"/>
      <c r="V83" s="64"/>
    </row>
    <row r="84" spans="1:22" ht="14.65" customHeight="1" x14ac:dyDescent="0.35">
      <c r="A84" s="317" t="s">
        <v>36</v>
      </c>
      <c r="B84" s="306"/>
      <c r="C84" s="306"/>
      <c r="D84" s="306"/>
      <c r="E84" s="306"/>
      <c r="F84" s="306"/>
      <c r="G84" s="306"/>
      <c r="H84" s="306"/>
      <c r="I84" s="306"/>
      <c r="J84" s="306"/>
      <c r="K84" s="306"/>
      <c r="L84" s="306"/>
      <c r="M84" s="306"/>
      <c r="N84" s="306"/>
      <c r="O84" s="306"/>
      <c r="P84" s="306"/>
      <c r="Q84" s="306"/>
      <c r="R84" s="306"/>
      <c r="S84" s="306"/>
      <c r="T84" s="307"/>
      <c r="U84" s="85"/>
      <c r="V84" s="64"/>
    </row>
    <row r="85" spans="1:22" x14ac:dyDescent="0.35">
      <c r="A85" s="233" t="s">
        <v>13</v>
      </c>
      <c r="B85" s="233" t="s">
        <v>14</v>
      </c>
      <c r="C85" s="233" t="s">
        <v>15</v>
      </c>
      <c r="D85" s="233" t="s">
        <v>16</v>
      </c>
      <c r="E85" s="233" t="s">
        <v>595</v>
      </c>
      <c r="F85" s="233" t="s">
        <v>596</v>
      </c>
      <c r="G85" s="217" t="s">
        <v>597</v>
      </c>
      <c r="H85" s="233" t="s">
        <v>598</v>
      </c>
      <c r="I85" s="233" t="s">
        <v>599</v>
      </c>
      <c r="J85" s="233" t="s">
        <v>600</v>
      </c>
      <c r="K85" s="233" t="s">
        <v>601</v>
      </c>
      <c r="L85" s="233" t="s">
        <v>602</v>
      </c>
      <c r="M85" s="233" t="s">
        <v>603</v>
      </c>
      <c r="N85" s="233" t="s">
        <v>604</v>
      </c>
      <c r="O85" s="233" t="s">
        <v>605</v>
      </c>
      <c r="P85" s="233" t="s">
        <v>606</v>
      </c>
      <c r="Q85" s="233" t="s">
        <v>607</v>
      </c>
      <c r="R85" s="233" t="s">
        <v>666</v>
      </c>
      <c r="S85" s="233" t="s">
        <v>667</v>
      </c>
      <c r="T85" s="233" t="s">
        <v>668</v>
      </c>
      <c r="U85" s="85"/>
      <c r="V85" s="64"/>
    </row>
    <row r="86" spans="1:22" x14ac:dyDescent="0.35">
      <c r="A86" s="246" t="s">
        <v>675</v>
      </c>
      <c r="B86" s="246" t="s">
        <v>677</v>
      </c>
      <c r="C86" s="246" t="s">
        <v>676</v>
      </c>
      <c r="D86" s="151" t="s">
        <v>29</v>
      </c>
      <c r="E86" s="151" t="s">
        <v>29</v>
      </c>
      <c r="F86" s="239" t="s">
        <v>611</v>
      </c>
      <c r="G86" s="223" t="s">
        <v>612</v>
      </c>
      <c r="H86" s="246">
        <v>1.2</v>
      </c>
      <c r="I86" s="246">
        <v>0.1</v>
      </c>
      <c r="J86" s="246">
        <v>1.2</v>
      </c>
      <c r="K86" s="246">
        <v>1.2</v>
      </c>
      <c r="L86" s="246">
        <v>1.2</v>
      </c>
      <c r="M86" s="246">
        <v>0.1</v>
      </c>
      <c r="N86" s="239" t="s">
        <v>25</v>
      </c>
      <c r="O86" s="239" t="s">
        <v>25</v>
      </c>
      <c r="P86" s="239" t="s">
        <v>25</v>
      </c>
      <c r="Q86" s="239" t="s">
        <v>25</v>
      </c>
      <c r="R86" s="239" t="s">
        <v>25</v>
      </c>
      <c r="S86" s="239" t="s">
        <v>25</v>
      </c>
      <c r="T86" s="239" t="s">
        <v>25</v>
      </c>
      <c r="U86" s="85"/>
      <c r="V86" s="64"/>
    </row>
    <row r="87" spans="1:22" ht="13.4" customHeight="1" thickBot="1" x14ac:dyDescent="0.4">
      <c r="A87" s="66"/>
      <c r="B87" s="66"/>
      <c r="C87" s="66"/>
      <c r="D87" s="66"/>
      <c r="E87" s="66"/>
      <c r="F87" s="66"/>
      <c r="G87" s="66"/>
      <c r="H87" s="66"/>
      <c r="I87" s="66"/>
      <c r="J87" s="66"/>
      <c r="K87" s="66"/>
      <c r="L87" s="66"/>
      <c r="M87" s="66"/>
      <c r="N87" s="72"/>
      <c r="O87" s="66"/>
      <c r="P87" s="66"/>
      <c r="Q87" s="66"/>
      <c r="R87" s="66"/>
      <c r="S87" s="66"/>
      <c r="T87" s="67"/>
      <c r="U87" s="66"/>
      <c r="V87" s="67"/>
    </row>
    <row r="88" spans="1:22" ht="13.4" customHeight="1" thickTop="1" x14ac:dyDescent="0.35">
      <c r="A88" s="69"/>
      <c r="B88" s="69"/>
      <c r="C88" s="69"/>
      <c r="D88" s="69"/>
      <c r="E88" s="69"/>
      <c r="F88" s="134" t="s">
        <v>678</v>
      </c>
      <c r="G88" s="69"/>
      <c r="H88" s="69"/>
      <c r="I88" s="69"/>
      <c r="J88" s="69"/>
      <c r="K88" s="69"/>
      <c r="L88" s="69"/>
      <c r="M88" s="69"/>
      <c r="N88" s="73"/>
      <c r="O88" s="69"/>
      <c r="P88" s="69"/>
      <c r="Q88" s="69"/>
      <c r="R88" s="69"/>
      <c r="S88" s="69"/>
      <c r="T88" s="74"/>
      <c r="U88" s="74"/>
      <c r="V88" s="61"/>
    </row>
    <row r="89" spans="1:22" ht="14.65" customHeight="1" x14ac:dyDescent="0.35">
      <c r="A89" s="316" t="s">
        <v>7</v>
      </c>
      <c r="B89" s="306"/>
      <c r="C89" s="306"/>
      <c r="D89" s="306"/>
      <c r="E89" s="306"/>
      <c r="F89" s="306"/>
      <c r="G89" s="306"/>
      <c r="H89" s="306"/>
      <c r="I89" s="306"/>
      <c r="J89" s="306"/>
      <c r="K89" s="307"/>
      <c r="L89" s="75"/>
      <c r="M89" s="75"/>
      <c r="N89" s="75"/>
      <c r="O89" s="74"/>
      <c r="P89" s="74"/>
      <c r="Q89" s="74"/>
      <c r="R89" s="74"/>
      <c r="S89" s="74"/>
      <c r="T89" s="74"/>
      <c r="U89" s="74"/>
      <c r="V89" s="61"/>
    </row>
    <row r="90" spans="1:22" x14ac:dyDescent="0.35">
      <c r="A90" s="59" t="s">
        <v>10</v>
      </c>
      <c r="B90" s="59" t="s">
        <v>11</v>
      </c>
      <c r="C90" s="59" t="s">
        <v>12</v>
      </c>
      <c r="D90" s="59" t="s">
        <v>13</v>
      </c>
      <c r="E90" s="59" t="s">
        <v>14</v>
      </c>
      <c r="F90" s="59" t="s">
        <v>15</v>
      </c>
      <c r="G90" s="59" t="s">
        <v>16</v>
      </c>
      <c r="H90" s="59" t="s">
        <v>17</v>
      </c>
      <c r="I90" s="59" t="s">
        <v>18</v>
      </c>
      <c r="J90" s="59" t="s">
        <v>19</v>
      </c>
      <c r="K90" s="59" t="s">
        <v>20</v>
      </c>
      <c r="L90" s="77"/>
      <c r="M90" s="77"/>
      <c r="N90" s="84"/>
      <c r="O90" s="74"/>
      <c r="P90" s="74"/>
      <c r="Q90" s="74"/>
      <c r="R90" s="74"/>
      <c r="S90" s="74"/>
      <c r="T90" s="74"/>
      <c r="U90" s="74"/>
      <c r="V90" s="61"/>
    </row>
    <row r="91" spans="1:22" x14ac:dyDescent="0.3">
      <c r="A91" s="245" t="s">
        <v>662</v>
      </c>
      <c r="B91" s="240" t="s">
        <v>159</v>
      </c>
      <c r="C91" s="240">
        <v>0</v>
      </c>
      <c r="D91" s="245" t="s">
        <v>679</v>
      </c>
      <c r="E91" s="245" t="s">
        <v>678</v>
      </c>
      <c r="F91" s="245" t="s">
        <v>680</v>
      </c>
      <c r="G91" s="151" t="s">
        <v>29</v>
      </c>
      <c r="H91" s="245" t="s">
        <v>665</v>
      </c>
      <c r="I91" s="245"/>
      <c r="J91" s="245"/>
      <c r="K91" s="60">
        <v>36892</v>
      </c>
      <c r="L91" s="79"/>
      <c r="M91" s="79"/>
      <c r="N91" s="78"/>
      <c r="O91" s="74"/>
      <c r="P91" s="74"/>
      <c r="Q91" s="74"/>
      <c r="R91" s="74"/>
      <c r="S91" s="74"/>
      <c r="T91" s="74"/>
      <c r="U91" s="74"/>
      <c r="V91" s="61"/>
    </row>
    <row r="92" spans="1:22" x14ac:dyDescent="0.35">
      <c r="A92" s="74"/>
      <c r="B92" s="74"/>
      <c r="C92" s="74"/>
      <c r="D92" s="74"/>
      <c r="E92" s="74"/>
      <c r="F92" s="74"/>
      <c r="G92" s="74"/>
      <c r="H92" s="74"/>
      <c r="I92" s="74"/>
      <c r="J92" s="74"/>
      <c r="K92" s="74"/>
      <c r="L92" s="74"/>
      <c r="M92" s="74"/>
      <c r="N92" s="78"/>
      <c r="O92" s="74"/>
      <c r="P92" s="74"/>
      <c r="Q92" s="74"/>
      <c r="R92" s="74"/>
      <c r="S92" s="74"/>
      <c r="T92" s="74"/>
      <c r="U92" s="74"/>
      <c r="V92" s="61"/>
    </row>
    <row r="93" spans="1:22" ht="14.65" customHeight="1" x14ac:dyDescent="0.35">
      <c r="A93" s="316" t="s">
        <v>36</v>
      </c>
      <c r="B93" s="306"/>
      <c r="C93" s="306"/>
      <c r="D93" s="306"/>
      <c r="E93" s="306"/>
      <c r="F93" s="306"/>
      <c r="G93" s="306"/>
      <c r="H93" s="306"/>
      <c r="I93" s="306"/>
      <c r="J93" s="306"/>
      <c r="K93" s="306"/>
      <c r="L93" s="306"/>
      <c r="M93" s="306"/>
      <c r="N93" s="306"/>
      <c r="O93" s="306"/>
      <c r="P93" s="306"/>
      <c r="Q93" s="306"/>
      <c r="R93" s="306"/>
      <c r="S93" s="306"/>
      <c r="T93" s="307"/>
      <c r="U93" s="74"/>
      <c r="V93" s="61"/>
    </row>
    <row r="94" spans="1:22" x14ac:dyDescent="0.35">
      <c r="A94" s="59" t="s">
        <v>13</v>
      </c>
      <c r="B94" s="59" t="s">
        <v>14</v>
      </c>
      <c r="C94" s="59" t="s">
        <v>15</v>
      </c>
      <c r="D94" s="59" t="s">
        <v>16</v>
      </c>
      <c r="E94" s="59" t="s">
        <v>595</v>
      </c>
      <c r="F94" s="59" t="s">
        <v>596</v>
      </c>
      <c r="G94" s="217" t="s">
        <v>597</v>
      </c>
      <c r="H94" s="59" t="s">
        <v>598</v>
      </c>
      <c r="I94" s="59" t="s">
        <v>599</v>
      </c>
      <c r="J94" s="59" t="s">
        <v>600</v>
      </c>
      <c r="K94" s="59" t="s">
        <v>601</v>
      </c>
      <c r="L94" s="59" t="s">
        <v>602</v>
      </c>
      <c r="M94" s="59" t="s">
        <v>603</v>
      </c>
      <c r="N94" s="59" t="s">
        <v>604</v>
      </c>
      <c r="O94" s="59" t="s">
        <v>605</v>
      </c>
      <c r="P94" s="59" t="s">
        <v>606</v>
      </c>
      <c r="Q94" s="59" t="s">
        <v>607</v>
      </c>
      <c r="R94" s="59" t="s">
        <v>666</v>
      </c>
      <c r="S94" s="59" t="s">
        <v>667</v>
      </c>
      <c r="T94" s="59" t="s">
        <v>668</v>
      </c>
      <c r="U94" s="74"/>
      <c r="V94" s="61"/>
    </row>
    <row r="95" spans="1:22" x14ac:dyDescent="0.35">
      <c r="A95" s="245" t="s">
        <v>679</v>
      </c>
      <c r="B95" s="245" t="s">
        <v>681</v>
      </c>
      <c r="C95" s="245" t="s">
        <v>680</v>
      </c>
      <c r="D95" s="151" t="s">
        <v>29</v>
      </c>
      <c r="E95" s="151" t="s">
        <v>29</v>
      </c>
      <c r="F95" s="238" t="s">
        <v>611</v>
      </c>
      <c r="G95" s="223" t="s">
        <v>612</v>
      </c>
      <c r="H95" s="245">
        <v>1.3</v>
      </c>
      <c r="I95" s="245">
        <v>0.1</v>
      </c>
      <c r="J95" s="245">
        <v>1.3</v>
      </c>
      <c r="K95" s="245">
        <v>1.3</v>
      </c>
      <c r="L95" s="245">
        <v>1.3</v>
      </c>
      <c r="M95" s="245">
        <v>0.1</v>
      </c>
      <c r="N95" s="238" t="s">
        <v>25</v>
      </c>
      <c r="O95" s="238" t="s">
        <v>25</v>
      </c>
      <c r="P95" s="238" t="s">
        <v>25</v>
      </c>
      <c r="Q95" s="238" t="s">
        <v>25</v>
      </c>
      <c r="R95" s="238" t="s">
        <v>25</v>
      </c>
      <c r="S95" s="238" t="s">
        <v>25</v>
      </c>
      <c r="T95" s="238" t="s">
        <v>25</v>
      </c>
      <c r="U95" s="74"/>
      <c r="V95" s="61"/>
    </row>
    <row r="96" spans="1:22" ht="13.4" customHeight="1" thickBot="1" x14ac:dyDescent="0.4">
      <c r="A96" s="62"/>
      <c r="B96" s="62"/>
      <c r="C96" s="62"/>
      <c r="D96" s="62"/>
      <c r="E96" s="62"/>
      <c r="F96" s="62"/>
      <c r="G96" s="62"/>
      <c r="H96" s="62"/>
      <c r="I96" s="62"/>
      <c r="J96" s="62"/>
      <c r="K96" s="62"/>
      <c r="L96" s="62"/>
      <c r="M96" s="62"/>
      <c r="N96" s="70"/>
      <c r="O96" s="62"/>
      <c r="P96" s="62"/>
      <c r="Q96" s="62"/>
      <c r="R96" s="62"/>
      <c r="S96" s="62"/>
      <c r="T96" s="63"/>
      <c r="U96" s="62"/>
      <c r="V96" s="63"/>
    </row>
    <row r="97" ht="13.4" customHeight="1" thickTop="1" x14ac:dyDescent="0.35"/>
  </sheetData>
  <mergeCells count="18">
    <mergeCell ref="A2:K2"/>
    <mergeCell ref="A6:Q6"/>
    <mergeCell ref="A14:K14"/>
    <mergeCell ref="A18:Q18"/>
    <mergeCell ref="A26:K26"/>
    <mergeCell ref="A50:K50"/>
    <mergeCell ref="A54:Q54"/>
    <mergeCell ref="A38:K38"/>
    <mergeCell ref="A42:Q42"/>
    <mergeCell ref="A30:Q30"/>
    <mergeCell ref="A84:T84"/>
    <mergeCell ref="A89:K89"/>
    <mergeCell ref="A93:T93"/>
    <mergeCell ref="A62:K62"/>
    <mergeCell ref="A71:K71"/>
    <mergeCell ref="A66:T66"/>
    <mergeCell ref="A75:T75"/>
    <mergeCell ref="A80:K80"/>
  </mergeCells>
  <dataValidations disablePrompts="1" xWindow="2308" yWindow="582" count="38">
    <dataValidation type="list" errorStyle="information" allowBlank="1" showInputMessage="1" showErrorMessage="1" sqref="P8:Q11 P20:Q23 P32:Q37 P44:Q48 P56:Q60" xr:uid="{00000000-0002-0000-0800-000000000000}">
      <formula1>"'---,"</formula1>
    </dataValidation>
    <dataValidation type="list" allowBlank="1" showInputMessage="1" showErrorMessage="1" errorTitle="Invalid Input" error="Only the predefined options may be used" sqref="G36:G37 G60 G48" xr:uid="{00000000-0002-0000-0800-000001000000}">
      <formula1>"'---, DIO0, DIO1, DIO2"</formula1>
    </dataValidation>
    <dataValidation allowBlank="1" showInputMessage="1" showErrorMessage="1" promptTitle="Stop Time (s)" prompt="The time in seconds that a power supply output will be turned off during a test._x000a_--- = Never_x000a_" sqref="Q7 Q19 Q31 Q43 Q55" xr:uid="{00000000-0002-0000-0800-000002000000}"/>
    <dataValidation allowBlank="1" showInputMessage="1" showErrorMessage="1" promptTitle="Start Time (s)" prompt="The time in seconds that a power supply output will be turned on during a test._x000a_--- = Never_x000a_0 = Immediately" sqref="P7 P19 P31 P43 P55" xr:uid="{00000000-0002-0000-0800-000003000000}"/>
    <dataValidation allowBlank="1" showInputMessage="1" showErrorMessage="1" promptTitle="Slew Rate (Fall)" prompt="The rate (V/s) that the power supply will use for negative transitions. If a power _x000a_--- = Default" sqref="O7 O19 O31 O43 O55" xr:uid="{00000000-0002-0000-0800-000004000000}"/>
    <dataValidation allowBlank="1" showInputMessage="1" showErrorMessage="1" promptTitle="Slew Rate (Rise)" prompt="The rate (V/s) that the power supply will use for positive transitions. If a power supply only supports a single slew rate this is the value that will be used._x000a_--- = Default" sqref="N7 N19 N31 N43 N55" xr:uid="{00000000-0002-0000-0800-000005000000}"/>
    <dataValidation allowBlank="1" showInputMessage="1" showErrorMessage="1" promptTitle="Current Limit (A)" prompt="The current that will be set for testing" sqref="M7 M19 M31 M43 M55" xr:uid="{00000000-0002-0000-0800-000006000000}"/>
    <dataValidation allowBlank="1" showInputMessage="1" showErrorMessage="1" promptTitle="Voltage High (V)" prompt="The voltage that will be set for a high voltage test" sqref="L7 L19 L31 L43 L55" xr:uid="{00000000-0002-0000-0800-000007000000}"/>
    <dataValidation allowBlank="1" showInputMessage="1" showErrorMessage="1" promptTitle="Voltage Nominal (V)" prompt="The voltage that will be set for a nominal voltage test" sqref="K7 K19 K31 K43 K55" xr:uid="{00000000-0002-0000-0800-000008000000}"/>
    <dataValidation allowBlank="1" showInputMessage="1" showErrorMessage="1" promptTitle="Voltage Low (V)" prompt="The voltage that will be set if configured for a low voltage test" sqref="J7 J19 J31 J43 J55" xr:uid="{00000000-0002-0000-0800-000009000000}"/>
    <dataValidation allowBlank="1" showInputMessage="1" showErrorMessage="1" promptTitle="Pre-Test Current (A)" prompt="The current limit that will be set on initialize" sqref="I7 I19 I31 I43 I55" xr:uid="{00000000-0002-0000-0800-00000A000000}"/>
    <dataValidation allowBlank="1" showInputMessage="1" showErrorMessage="1" promptTitle="Pre-Test Voltage (V)" prompt="The voltage that the power supply will be set to on initialize" sqref="H7 H19 H31 H43 H55" xr:uid="{00000000-0002-0000-0800-00000B000000}"/>
    <dataValidation allowBlank="1" showInputMessage="1" showErrorMessage="1" promptTitle="Output Control Pin" prompt="Specific Pin used to control the output of the power supply_x000a_--- = default (None)" sqref="G7 G19 G31 G43 G55" xr:uid="{00000000-0002-0000-0800-00000C000000}"/>
    <dataValidation allowBlank="1" showInputMessage="1" showErrorMessage="1" promptTitle="Output Control" prompt="Determines the method that controls the power supply output._x000a_Driver = Default control method_x000a_PXIe-7867R = FPGA Digital Output control" sqref="F7 F19 F31 F43 F55" xr:uid="{00000000-0002-0000-0800-00000D000000}"/>
    <dataValidation type="list" allowBlank="1" showInputMessage="1" showErrorMessage="1" errorTitle="Invalid Entry" error="Only the predefined options may be used" sqref="F8:F11 F20:F23 F36 F44:F48 F56:F60" xr:uid="{00000000-0002-0000-0800-00000E000000}">
      <formula1>"Driver, PXIe-7867R_01"</formula1>
    </dataValidation>
    <dataValidation allowBlank="1" showInputMessage="1" showErrorMessage="1" promptTitle="Output Enabled" prompt="Determines the state of the Power Supply Output" sqref="E7 E19 E31 E43 E55" xr:uid="{00000000-0002-0000-0800-00000F000000}"/>
    <dataValidation allowBlank="1" showInputMessage="1" showErrorMessage="1" promptTitle="Enabled" prompt="--- = OFF (Not enabled)_x000a_Yes = ON (Enabled)" sqref="D7 D19 D31 D43 D55" xr:uid="{00000000-0002-0000-0800-000010000000}"/>
    <dataValidation allowBlank="1" showInputMessage="1" showErrorMessage="1" promptTitle="Description" prompt="Optional description of the specific channel" sqref="C7 C19 C31 C43 C55" xr:uid="{00000000-0002-0000-0800-000011000000}"/>
    <dataValidation allowBlank="1" showInputMessage="1" showErrorMessage="1" promptTitle="Software Alias" prompt="Software Alias of the specific channel." sqref="B7 B19 B31 B43 B55" xr:uid="{00000000-0002-0000-0800-000012000000}"/>
    <dataValidation allowBlank="1" showInputMessage="1" showErrorMessage="1" promptTitle="Address" prompt="Specific Address of an Instrument Channel" sqref="A7 A19 A31 A43 A55" xr:uid="{00000000-0002-0000-0800-000013000000}"/>
    <dataValidation type="date" operator="greaterThan" allowBlank="1" showInputMessage="1" showErrorMessage="1" promptTitle="Calibration Date" prompt="Optional Input that assigns a calibration date to an instrument" sqref="K4 K16 K28:K29 K40:K41 K52" xr:uid="{00000000-0002-0000-0800-000014000000}">
      <formula1>36526</formula1>
    </dataValidation>
    <dataValidation allowBlank="1" showInputMessage="1" showErrorMessage="1" promptTitle="Asset Number" prompt="Optional input that assigns an asset number to the instrument" sqref="J4 J16 J28:J29 J40:J41 J52" xr:uid="{00000000-0002-0000-0800-000015000000}"/>
    <dataValidation allowBlank="1" showInputMessage="1" showErrorMessage="1" promptTitle="Serial Number" prompt="Optional input if the instrument doesn't allow for programatic query of serial number" sqref="I4 I16 I28:I29 I40:I41 I52" xr:uid="{00000000-0002-0000-0800-000016000000}"/>
    <dataValidation allowBlank="1" showInputMessage="1" showErrorMessage="1" promptTitle="Model" prompt="Optional input if the instrument doesn't allow for programatic query of model number" sqref="H4 H16 H28:H29 H40:H41 H52" xr:uid="{00000000-0002-0000-0800-000017000000}"/>
    <dataValidation type="list" allowBlank="1" showInputMessage="1" showErrorMessage="1" promptTitle="Enabled" prompt="--- = OFF (Not enabled)_x000a_Yes = ON (Enabled)" sqref="G16 G28:G29 G4 G40:G41 G91 G64 G82 G73 G52" xr:uid="{00000000-0002-0000-0800-000018000000}">
      <formula1>"Yes,'---"</formula1>
    </dataValidation>
    <dataValidation allowBlank="1" showInputMessage="1" showErrorMessage="1" promptTitle="Engine Port Setting" prompt="Port of the machine that the instrument specific engine is running on._x000a_0 = Default" sqref="C4 C16 C28:C29 C40:C41 C52" xr:uid="{00000000-0002-0000-0800-000019000000}"/>
    <dataValidation type="list" allowBlank="1" showInputMessage="1" showErrorMessage="1" promptTitle="Engine IP Address" prompt="IP address of the machine that the instrument specific engine is running on" sqref="B16 B28:B29 B4 B40:B41 B52" xr:uid="{00000000-0002-0000-0800-00001A000000}">
      <formula1>"LocalHost"</formula1>
    </dataValidation>
    <dataValidation allowBlank="1" showInputMessage="1" showErrorMessage="1" promptTitle="Description" prompt="Optional description of the instrument" sqref="F4 F28:F29 F16 F40:F41 F52" xr:uid="{00000000-0002-0000-0800-00001B000000}"/>
    <dataValidation allowBlank="1" showInputMessage="1" showErrorMessage="1" promptTitle="Software Alias" prompt="Alias given to the Instrument" sqref="E4 E16 E28:E29 E40:E41 E52" xr:uid="{00000000-0002-0000-0800-00001C000000}"/>
    <dataValidation allowBlank="1" showInputMessage="1" showErrorMessage="1" promptTitle="Address" prompt="Address to communicate with the instrument" sqref="D4 D16 D28:D29 D40:D41 D52" xr:uid="{00000000-0002-0000-0800-00001D000000}"/>
    <dataValidation allowBlank="1" showInputMessage="1" showErrorMessage="1" promptTitle="Type" prompt="Determines the Instrument type" sqref="A4 A16 A28:A29 A40:A41 A52" xr:uid="{00000000-0002-0000-0800-00001E000000}"/>
    <dataValidation type="list" allowBlank="1" showInputMessage="1" showErrorMessage="1" sqref="S8:S11 S20:S23 S32:S37 S44:S48 S56:S60" xr:uid="{00000000-0002-0000-0800-00001F000000}">
      <formula1>"'---,External,Software,Pin 1,Pin 2, Pin 3,Transient 1,Transient 2,Transient 3,Transient 4"</formula1>
    </dataValidation>
    <dataValidation type="list" allowBlank="1" showInputMessage="1" showErrorMessage="1" sqref="N8:O11 N20:O23 N32:O37 N44:O48 N56:O60" xr:uid="{00000000-0002-0000-0800-000020000000}">
      <formula1>"'---"</formula1>
    </dataValidation>
    <dataValidation type="list" allowBlank="1" showInputMessage="1" showErrorMessage="1" sqref="R8:R11 R20:R23 R32:R37 R44:R48 R56:R60" xr:uid="{00000000-0002-0000-0800-000021000000}">
      <formula1>"Regulatory, Trip"</formula1>
    </dataValidation>
    <dataValidation type="list" allowBlank="1" showInputMessage="1" showErrorMessage="1" sqref="D8:E11 D32:E37 D56:E60 D95:E95 D44:E48 D68:E68 D77:E77 D86:E86 D20:E23" xr:uid="{00000000-0002-0000-0800-000022000000}">
      <formula1>"Yes,'---"</formula1>
    </dataValidation>
    <dataValidation type="date" operator="greaterThan" allowBlank="1" showInputMessage="1" showErrorMessage="1" sqref="L4" xr:uid="{00000000-0002-0000-0800-000023000000}">
      <formula1>36526</formula1>
    </dataValidation>
    <dataValidation allowBlank="1" showInputMessage="1" showErrorMessage="1" errorTitle="Invalid Entry" error="Only the predefined options may be used" sqref="F37 F32:F35" xr:uid="{00000000-0002-0000-0800-000024000000}"/>
    <dataValidation allowBlank="1" showInputMessage="1" showErrorMessage="1" errorTitle="Invalid Input" error="Only the predefined options may be used" sqref="G8:G11 G44:G47 G20:G23 G32:G35 G56:G59" xr:uid="{00000000-0002-0000-0800-000025000000}"/>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anchor moveWithCells="1">
                  <from>
                    <xdr:col>21</xdr:col>
                    <xdr:colOff>914400</xdr:colOff>
                    <xdr:row>7</xdr:row>
                    <xdr:rowOff>50800</xdr:rowOff>
                  </from>
                  <to>
                    <xdr:col>22</xdr:col>
                    <xdr:colOff>666750</xdr:colOff>
                    <xdr:row>10</xdr:row>
                    <xdr:rowOff>222250</xdr:rowOff>
                  </to>
                </anchor>
              </controlPr>
            </control>
          </mc:Choice>
        </mc:AlternateContent>
        <mc:AlternateContent xmlns:mc="http://schemas.openxmlformats.org/markup-compatibility/2006">
          <mc:Choice Requires="x14">
            <control shapeId="20482" r:id="rId4" name="Button 2">
              <controlPr defaultSize="0" print="0" autoFill="0" autoPict="0">
                <anchor moveWithCells="1">
                  <from>
                    <xdr:col>21</xdr:col>
                    <xdr:colOff>914400</xdr:colOff>
                    <xdr:row>11</xdr:row>
                    <xdr:rowOff>184150</xdr:rowOff>
                  </from>
                  <to>
                    <xdr:col>22</xdr:col>
                    <xdr:colOff>666750</xdr:colOff>
                    <xdr:row>15</xdr:row>
                    <xdr:rowOff>222250</xdr:rowOff>
                  </to>
                </anchor>
              </controlPr>
            </control>
          </mc:Choice>
        </mc:AlternateContent>
        <mc:AlternateContent xmlns:mc="http://schemas.openxmlformats.org/markup-compatibility/2006">
          <mc:Choice Requires="x14">
            <control shapeId="20483" r:id="rId5" name="Button 3">
              <controlPr defaultSize="0" print="0" autoFill="0" autoPict="0">
                <anchor moveWithCells="1">
                  <from>
                    <xdr:col>21</xdr:col>
                    <xdr:colOff>914400</xdr:colOff>
                    <xdr:row>17</xdr:row>
                    <xdr:rowOff>50800</xdr:rowOff>
                  </from>
                  <to>
                    <xdr:col>22</xdr:col>
                    <xdr:colOff>666750</xdr:colOff>
                    <xdr:row>21</xdr:row>
                    <xdr:rowOff>50800</xdr:rowOff>
                  </to>
                </anchor>
              </controlPr>
            </control>
          </mc:Choice>
        </mc:AlternateContent>
        <mc:AlternateContent xmlns:mc="http://schemas.openxmlformats.org/markup-compatibility/2006">
          <mc:Choice Requires="x14">
            <control shapeId="20484" r:id="rId6" name="Button 4">
              <controlPr defaultSize="0" print="0" autoFill="0" autoPict="0">
                <anchor moveWithCells="1">
                  <from>
                    <xdr:col>20</xdr:col>
                    <xdr:colOff>850900</xdr:colOff>
                    <xdr:row>7</xdr:row>
                    <xdr:rowOff>50800</xdr:rowOff>
                  </from>
                  <to>
                    <xdr:col>21</xdr:col>
                    <xdr:colOff>647700</xdr:colOff>
                    <xdr:row>10</xdr:row>
                    <xdr:rowOff>222250</xdr:rowOff>
                  </to>
                </anchor>
              </controlPr>
            </control>
          </mc:Choice>
        </mc:AlternateContent>
        <mc:AlternateContent xmlns:mc="http://schemas.openxmlformats.org/markup-compatibility/2006">
          <mc:Choice Requires="x14">
            <control shapeId="20485" r:id="rId7" name="Button 5">
              <controlPr defaultSize="0" print="0" autoFill="0" autoPict="0">
                <anchor moveWithCells="1">
                  <from>
                    <xdr:col>20</xdr:col>
                    <xdr:colOff>850900</xdr:colOff>
                    <xdr:row>11</xdr:row>
                    <xdr:rowOff>184150</xdr:rowOff>
                  </from>
                  <to>
                    <xdr:col>21</xdr:col>
                    <xdr:colOff>647700</xdr:colOff>
                    <xdr:row>15</xdr:row>
                    <xdr:rowOff>222250</xdr:rowOff>
                  </to>
                </anchor>
              </controlPr>
            </control>
          </mc:Choice>
        </mc:AlternateContent>
        <mc:AlternateContent xmlns:mc="http://schemas.openxmlformats.org/markup-compatibility/2006">
          <mc:Choice Requires="x14">
            <control shapeId="20486" r:id="rId8" name="Button 6">
              <controlPr defaultSize="0" print="0" autoFill="0" autoPict="0">
                <anchor moveWithCells="1">
                  <from>
                    <xdr:col>20</xdr:col>
                    <xdr:colOff>850900</xdr:colOff>
                    <xdr:row>17</xdr:row>
                    <xdr:rowOff>50800</xdr:rowOff>
                  </from>
                  <to>
                    <xdr:col>21</xdr:col>
                    <xdr:colOff>647700</xdr:colOff>
                    <xdr:row>21</xdr:row>
                    <xdr:rowOff>50800</xdr:rowOff>
                  </to>
                </anchor>
              </controlPr>
            </control>
          </mc:Choice>
        </mc:AlternateContent>
        <mc:AlternateContent xmlns:mc="http://schemas.openxmlformats.org/markup-compatibility/2006">
          <mc:Choice Requires="x14">
            <control shapeId="20487" r:id="rId9" name="Button 7">
              <controlPr defaultSize="0" print="0" autoFill="0" autoPict="0">
                <anchor moveWithCells="1">
                  <from>
                    <xdr:col>21</xdr:col>
                    <xdr:colOff>914400</xdr:colOff>
                    <xdr:row>1</xdr:row>
                    <xdr:rowOff>114300</xdr:rowOff>
                  </from>
                  <to>
                    <xdr:col>22</xdr:col>
                    <xdr:colOff>666750</xdr:colOff>
                    <xdr:row>5</xdr:row>
                    <xdr:rowOff>184150</xdr:rowOff>
                  </to>
                </anchor>
              </controlPr>
            </control>
          </mc:Choice>
        </mc:AlternateContent>
        <mc:AlternateContent xmlns:mc="http://schemas.openxmlformats.org/markup-compatibility/2006">
          <mc:Choice Requires="x14">
            <control shapeId="20488" r:id="rId10" name="Button 8">
              <controlPr defaultSize="0" print="0" autoFill="0" autoPict="0">
                <anchor moveWithCells="1">
                  <from>
                    <xdr:col>20</xdr:col>
                    <xdr:colOff>850900</xdr:colOff>
                    <xdr:row>1</xdr:row>
                    <xdr:rowOff>114300</xdr:rowOff>
                  </from>
                  <to>
                    <xdr:col>21</xdr:col>
                    <xdr:colOff>647700</xdr:colOff>
                    <xdr:row>5</xdr:row>
                    <xdr:rowOff>184150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AS22"/>
  <sheetViews>
    <sheetView topLeftCell="H1" workbookViewId="0">
      <selection activeCell="S27" sqref="S27"/>
    </sheetView>
  </sheetViews>
  <sheetFormatPr defaultColWidth="5.81640625" defaultRowHeight="14.5" x14ac:dyDescent="0.35"/>
  <cols>
    <col min="1" max="1" width="5.7265625" style="156" bestFit="1" customWidth="1"/>
    <col min="2" max="2" width="10.54296875" style="156" customWidth="1"/>
    <col min="3" max="3" width="12" style="156" bestFit="1" customWidth="1"/>
    <col min="4" max="4" width="11" style="156" bestFit="1" customWidth="1"/>
    <col min="5" max="5" width="7.54296875" style="156" customWidth="1"/>
    <col min="6" max="6" width="11.54296875" style="156" customWidth="1"/>
    <col min="7" max="7" width="12" style="156" customWidth="1"/>
    <col min="8" max="8" width="11.1796875" style="156" customWidth="1"/>
    <col min="9" max="9" width="13.1796875" style="156" bestFit="1" customWidth="1"/>
    <col min="10" max="10" width="10.7265625" style="156" bestFit="1" customWidth="1"/>
    <col min="11" max="11" width="5.81640625" style="156" bestFit="1" customWidth="1"/>
    <col min="12" max="12" width="10.7265625" style="156" bestFit="1" customWidth="1"/>
    <col min="13" max="13" width="9.81640625" style="156" bestFit="1" customWidth="1"/>
    <col min="14" max="21" width="16.1796875" style="156" bestFit="1" customWidth="1"/>
    <col min="22" max="45" width="16.1796875" style="156" customWidth="1"/>
    <col min="46" max="52" width="5.81640625" style="156" customWidth="1"/>
    <col min="53" max="16384" width="5.81640625" style="156"/>
  </cols>
  <sheetData>
    <row r="1" spans="1:45" ht="15" customHeight="1" x14ac:dyDescent="0.35">
      <c r="A1" s="333" t="s">
        <v>682</v>
      </c>
      <c r="B1" s="333" t="s">
        <v>15</v>
      </c>
      <c r="C1" s="333" t="s">
        <v>683</v>
      </c>
      <c r="D1" s="333" t="s">
        <v>684</v>
      </c>
      <c r="E1" s="333" t="s">
        <v>685</v>
      </c>
      <c r="F1" s="333" t="s">
        <v>686</v>
      </c>
      <c r="G1" s="333" t="s">
        <v>687</v>
      </c>
      <c r="H1" s="333" t="s">
        <v>688</v>
      </c>
      <c r="I1" s="336" t="s">
        <v>689</v>
      </c>
      <c r="J1" s="337"/>
      <c r="K1" s="338"/>
      <c r="L1" s="340" t="s">
        <v>690</v>
      </c>
      <c r="M1" s="337"/>
      <c r="N1" s="326" t="s">
        <v>691</v>
      </c>
      <c r="O1" s="327"/>
      <c r="P1" s="327"/>
      <c r="Q1" s="327"/>
      <c r="R1" s="327"/>
      <c r="S1" s="327"/>
      <c r="T1" s="327"/>
      <c r="U1" s="328"/>
      <c r="V1" s="326" t="s">
        <v>692</v>
      </c>
      <c r="W1" s="327"/>
      <c r="X1" s="327"/>
      <c r="Y1" s="327"/>
      <c r="Z1" s="327"/>
      <c r="AA1" s="327"/>
      <c r="AB1" s="327"/>
      <c r="AC1" s="328"/>
      <c r="AD1" s="326" t="s">
        <v>693</v>
      </c>
      <c r="AE1" s="327"/>
      <c r="AF1" s="327"/>
      <c r="AG1" s="327"/>
      <c r="AH1" s="327"/>
      <c r="AI1" s="327"/>
      <c r="AJ1" s="327"/>
      <c r="AK1" s="328"/>
      <c r="AL1" s="326" t="s">
        <v>694</v>
      </c>
      <c r="AM1" s="327"/>
      <c r="AN1" s="327"/>
      <c r="AO1" s="327"/>
      <c r="AP1" s="327"/>
      <c r="AQ1" s="327"/>
      <c r="AR1" s="327"/>
      <c r="AS1" s="328"/>
    </row>
    <row r="2" spans="1:45" x14ac:dyDescent="0.35">
      <c r="A2" s="334"/>
      <c r="B2" s="334"/>
      <c r="C2" s="334"/>
      <c r="D2" s="334"/>
      <c r="E2" s="334"/>
      <c r="F2" s="334"/>
      <c r="G2" s="334"/>
      <c r="H2" s="334"/>
      <c r="I2" s="339"/>
      <c r="J2" s="303"/>
      <c r="K2" s="304"/>
      <c r="L2" s="339"/>
      <c r="M2" s="303"/>
      <c r="N2" s="157">
        <v>0</v>
      </c>
      <c r="O2" s="158">
        <v>1</v>
      </c>
      <c r="P2" s="158">
        <v>2</v>
      </c>
      <c r="Q2" s="158">
        <v>4</v>
      </c>
      <c r="R2" s="158">
        <v>8</v>
      </c>
      <c r="S2" s="158">
        <v>16</v>
      </c>
      <c r="T2" s="158">
        <v>33</v>
      </c>
      <c r="U2" s="159">
        <v>68</v>
      </c>
      <c r="V2" s="157">
        <v>0</v>
      </c>
      <c r="W2" s="158">
        <v>1</v>
      </c>
      <c r="X2" s="158">
        <v>2</v>
      </c>
      <c r="Y2" s="158">
        <v>4</v>
      </c>
      <c r="Z2" s="158">
        <v>8</v>
      </c>
      <c r="AA2" s="158">
        <v>16</v>
      </c>
      <c r="AB2" s="158">
        <v>33</v>
      </c>
      <c r="AC2" s="159">
        <v>68</v>
      </c>
      <c r="AD2" s="157">
        <v>0</v>
      </c>
      <c r="AE2" s="158">
        <v>1</v>
      </c>
      <c r="AF2" s="158">
        <v>2</v>
      </c>
      <c r="AG2" s="158">
        <v>4</v>
      </c>
      <c r="AH2" s="158">
        <v>8</v>
      </c>
      <c r="AI2" s="158">
        <v>16</v>
      </c>
      <c r="AJ2" s="158">
        <v>33</v>
      </c>
      <c r="AK2" s="159">
        <v>68</v>
      </c>
      <c r="AL2" s="157">
        <v>0</v>
      </c>
      <c r="AM2" s="158">
        <v>1</v>
      </c>
      <c r="AN2" s="158">
        <v>2</v>
      </c>
      <c r="AO2" s="158">
        <v>4</v>
      </c>
      <c r="AP2" s="158">
        <v>8</v>
      </c>
      <c r="AQ2" s="158">
        <v>16</v>
      </c>
      <c r="AR2" s="158">
        <v>33</v>
      </c>
      <c r="AS2" s="159">
        <v>68</v>
      </c>
    </row>
    <row r="3" spans="1:45" x14ac:dyDescent="0.35">
      <c r="A3" s="335"/>
      <c r="B3" s="335"/>
      <c r="C3" s="335"/>
      <c r="D3" s="335"/>
      <c r="E3" s="335"/>
      <c r="F3" s="335"/>
      <c r="G3" s="335"/>
      <c r="H3" s="335"/>
      <c r="I3" s="158" t="s">
        <v>695</v>
      </c>
      <c r="J3" s="158" t="s">
        <v>696</v>
      </c>
      <c r="K3" s="160" t="s">
        <v>697</v>
      </c>
      <c r="L3" s="160" t="s">
        <v>696</v>
      </c>
      <c r="M3" s="249" t="s">
        <v>698</v>
      </c>
      <c r="N3" s="157" t="s">
        <v>16</v>
      </c>
      <c r="O3" s="158" t="s">
        <v>16</v>
      </c>
      <c r="P3" s="158" t="s">
        <v>16</v>
      </c>
      <c r="Q3" s="158" t="s">
        <v>16</v>
      </c>
      <c r="R3" s="158" t="s">
        <v>16</v>
      </c>
      <c r="S3" s="158" t="s">
        <v>16</v>
      </c>
      <c r="T3" s="158" t="s">
        <v>16</v>
      </c>
      <c r="U3" s="159" t="s">
        <v>16</v>
      </c>
      <c r="V3" s="157" t="s">
        <v>16</v>
      </c>
      <c r="W3" s="158" t="s">
        <v>16</v>
      </c>
      <c r="X3" s="158" t="s">
        <v>16</v>
      </c>
      <c r="Y3" s="158" t="s">
        <v>16</v>
      </c>
      <c r="Z3" s="158" t="s">
        <v>16</v>
      </c>
      <c r="AA3" s="158" t="s">
        <v>16</v>
      </c>
      <c r="AB3" s="158" t="s">
        <v>16</v>
      </c>
      <c r="AC3" s="159" t="s">
        <v>16</v>
      </c>
      <c r="AD3" s="157" t="s">
        <v>16</v>
      </c>
      <c r="AE3" s="158" t="s">
        <v>16</v>
      </c>
      <c r="AF3" s="158" t="s">
        <v>16</v>
      </c>
      <c r="AG3" s="158" t="s">
        <v>16</v>
      </c>
      <c r="AH3" s="158" t="s">
        <v>16</v>
      </c>
      <c r="AI3" s="158" t="s">
        <v>16</v>
      </c>
      <c r="AJ3" s="158" t="s">
        <v>16</v>
      </c>
      <c r="AK3" s="159" t="s">
        <v>16</v>
      </c>
      <c r="AL3" s="157" t="s">
        <v>16</v>
      </c>
      <c r="AM3" s="158" t="s">
        <v>16</v>
      </c>
      <c r="AN3" s="158" t="s">
        <v>16</v>
      </c>
      <c r="AO3" s="158" t="s">
        <v>16</v>
      </c>
      <c r="AP3" s="158" t="s">
        <v>16</v>
      </c>
      <c r="AQ3" s="158" t="s">
        <v>16</v>
      </c>
      <c r="AR3" s="158" t="s">
        <v>16</v>
      </c>
      <c r="AS3" s="159" t="s">
        <v>16</v>
      </c>
    </row>
    <row r="4" spans="1:45" x14ac:dyDescent="0.35">
      <c r="A4" s="158" t="s">
        <v>699</v>
      </c>
      <c r="B4" s="158"/>
      <c r="C4" s="158">
        <f t="shared" ref="C4:C11" si="0">IF(N15="Short","Short",IFERROR((1/((IF(N15="Short",(1/0),(0)))+(IF(O15="Open",0,(1/O15)))+(IF(P15="Open",0,(1/P15)))+(IF(Q15="Open",0,(1/Q15)))+(IF(R15="Open",0,(1/R15)))+(IF(S15="Open",0,(1/S15)))+(IF(T15="Open",0,(1/T15)))+(IF(U15="Open",0,(1/U15))))),"Open"))</f>
        <v>1</v>
      </c>
      <c r="D4" s="158">
        <v>5.0000000000000001E-3</v>
      </c>
      <c r="E4" s="158">
        <f t="shared" ref="E4:E11" si="1">IF(V15="Short","Short",IFERROR((1/((IF(V15="Short",(1/0),(0)))+(IF(W15="Open",0,(1/W15)))+(IF(X15="Open",0,(1/X15)))+(IF(Y15="Open",0,(1/Y15)))+(IF(Z15="Open",0,(1/Z15)))+(IF(AA15="Open",0,(1/AA15)))+(IF(AB15="Open",0,(1/AB15)))+(IF(AC15="Open",0,(1/AC15))))),"Open"))</f>
        <v>1</v>
      </c>
      <c r="F4" s="158">
        <v>2E-3</v>
      </c>
      <c r="G4" s="158" t="str">
        <f t="shared" ref="G4:G11" si="2">IF(AD15="Short","Short",IFERROR((1/((IF(AD15="Short",(1/0),(0)))+(IF(AE15="Open",0,(1/AE15)))+(IF(AF15="Open",0,(1/AF15)))+(IF(AG15="Open",0,(1/AG15)))+(IF(AH15="Open",0,(1/AH15)))+(IF(AI15="Open",0,(1/AI15)))+(IF(AJ15="Open",0,(1/AJ15)))+(IF(AK15="Open",0,(1/AK15))))),"Open"))</f>
        <v>Short</v>
      </c>
      <c r="H4" s="158" t="str">
        <f t="shared" ref="H4:H11" si="3">IF(AL15="Short","Short",IFERROR((1/((IF(AL15="Short",(1/0),(0)))+(IF(AM15="Open",0,(1/AM15)))+(IF(AN15="Open",0,(1/AN15)))+(IF(AO15="Open",0,(1/AO15)))+(IF(AP15="Open",0,(1/AP15)))+(IF(AQ15="Open",0,(1/AQ15)))+(IF(AR15="Open",0,(1/AR15)))+(IF(AS15="Open",0,(1/AS15))))),"Open"))</f>
        <v>Open</v>
      </c>
      <c r="I4" s="158">
        <v>2.5</v>
      </c>
      <c r="J4" s="158" t="s">
        <v>700</v>
      </c>
      <c r="K4" s="158" t="s">
        <v>701</v>
      </c>
      <c r="L4" s="158" t="s">
        <v>702</v>
      </c>
      <c r="M4" s="247" t="s">
        <v>703</v>
      </c>
      <c r="N4" s="161" t="s">
        <v>25</v>
      </c>
      <c r="O4" s="238" t="s">
        <v>29</v>
      </c>
      <c r="P4" s="238" t="s">
        <v>25</v>
      </c>
      <c r="Q4" s="238" t="s">
        <v>25</v>
      </c>
      <c r="R4" s="238" t="s">
        <v>25</v>
      </c>
      <c r="S4" s="238" t="s">
        <v>25</v>
      </c>
      <c r="T4" s="238" t="s">
        <v>25</v>
      </c>
      <c r="U4" s="162" t="s">
        <v>25</v>
      </c>
      <c r="V4" s="161" t="s">
        <v>25</v>
      </c>
      <c r="W4" s="238" t="s">
        <v>29</v>
      </c>
      <c r="X4" s="238" t="s">
        <v>25</v>
      </c>
      <c r="Y4" s="238" t="s">
        <v>25</v>
      </c>
      <c r="Z4" s="238" t="s">
        <v>25</v>
      </c>
      <c r="AA4" s="238" t="s">
        <v>25</v>
      </c>
      <c r="AB4" s="238" t="s">
        <v>25</v>
      </c>
      <c r="AC4" s="162" t="s">
        <v>25</v>
      </c>
      <c r="AD4" s="161" t="s">
        <v>29</v>
      </c>
      <c r="AE4" s="238" t="s">
        <v>25</v>
      </c>
      <c r="AF4" s="238" t="s">
        <v>25</v>
      </c>
      <c r="AG4" s="238" t="s">
        <v>25</v>
      </c>
      <c r="AH4" s="238" t="s">
        <v>25</v>
      </c>
      <c r="AI4" s="238" t="s">
        <v>25</v>
      </c>
      <c r="AJ4" s="238" t="s">
        <v>25</v>
      </c>
      <c r="AK4" s="162" t="s">
        <v>25</v>
      </c>
      <c r="AL4" s="161" t="s">
        <v>25</v>
      </c>
      <c r="AM4" s="238" t="s">
        <v>25</v>
      </c>
      <c r="AN4" s="238" t="s">
        <v>25</v>
      </c>
      <c r="AO4" s="238" t="s">
        <v>25</v>
      </c>
      <c r="AP4" s="238" t="s">
        <v>25</v>
      </c>
      <c r="AQ4" s="238" t="s">
        <v>25</v>
      </c>
      <c r="AR4" s="238" t="s">
        <v>25</v>
      </c>
      <c r="AS4" s="162" t="s">
        <v>25</v>
      </c>
    </row>
    <row r="5" spans="1:45" x14ac:dyDescent="0.35">
      <c r="A5" s="158" t="s">
        <v>704</v>
      </c>
      <c r="B5" s="158"/>
      <c r="C5" s="158">
        <f t="shared" si="0"/>
        <v>1</v>
      </c>
      <c r="D5" s="158">
        <v>5.0000000000000001E-3</v>
      </c>
      <c r="E5" s="158">
        <f t="shared" si="1"/>
        <v>1</v>
      </c>
      <c r="F5" s="158">
        <v>2E-3</v>
      </c>
      <c r="G5" s="158" t="str">
        <f t="shared" si="2"/>
        <v>Short</v>
      </c>
      <c r="H5" s="158" t="str">
        <f t="shared" si="3"/>
        <v>Open</v>
      </c>
      <c r="I5" s="158">
        <v>2.5</v>
      </c>
      <c r="J5" s="158" t="s">
        <v>700</v>
      </c>
      <c r="K5" s="158" t="s">
        <v>705</v>
      </c>
      <c r="L5" s="158" t="s">
        <v>702</v>
      </c>
      <c r="M5" s="247" t="s">
        <v>706</v>
      </c>
      <c r="N5" s="161" t="s">
        <v>25</v>
      </c>
      <c r="O5" s="238" t="s">
        <v>29</v>
      </c>
      <c r="P5" s="238" t="s">
        <v>25</v>
      </c>
      <c r="Q5" s="238" t="s">
        <v>25</v>
      </c>
      <c r="R5" s="238" t="s">
        <v>25</v>
      </c>
      <c r="S5" s="238" t="s">
        <v>25</v>
      </c>
      <c r="T5" s="238" t="s">
        <v>25</v>
      </c>
      <c r="U5" s="162" t="s">
        <v>25</v>
      </c>
      <c r="V5" s="161" t="s">
        <v>25</v>
      </c>
      <c r="W5" s="238" t="s">
        <v>29</v>
      </c>
      <c r="X5" s="238" t="s">
        <v>25</v>
      </c>
      <c r="Y5" s="238" t="s">
        <v>25</v>
      </c>
      <c r="Z5" s="238" t="s">
        <v>25</v>
      </c>
      <c r="AA5" s="238" t="s">
        <v>25</v>
      </c>
      <c r="AB5" s="238" t="s">
        <v>25</v>
      </c>
      <c r="AC5" s="162" t="s">
        <v>25</v>
      </c>
      <c r="AD5" s="161" t="s">
        <v>29</v>
      </c>
      <c r="AE5" s="238" t="s">
        <v>25</v>
      </c>
      <c r="AF5" s="238" t="s">
        <v>25</v>
      </c>
      <c r="AG5" s="238" t="s">
        <v>25</v>
      </c>
      <c r="AH5" s="238" t="s">
        <v>25</v>
      </c>
      <c r="AI5" s="238" t="s">
        <v>25</v>
      </c>
      <c r="AJ5" s="238" t="s">
        <v>25</v>
      </c>
      <c r="AK5" s="162" t="s">
        <v>25</v>
      </c>
      <c r="AL5" s="161" t="s">
        <v>25</v>
      </c>
      <c r="AM5" s="238" t="s">
        <v>25</v>
      </c>
      <c r="AN5" s="238" t="s">
        <v>25</v>
      </c>
      <c r="AO5" s="238" t="s">
        <v>25</v>
      </c>
      <c r="AP5" s="238" t="s">
        <v>25</v>
      </c>
      <c r="AQ5" s="238" t="s">
        <v>25</v>
      </c>
      <c r="AR5" s="238" t="s">
        <v>25</v>
      </c>
      <c r="AS5" s="162" t="s">
        <v>25</v>
      </c>
    </row>
    <row r="6" spans="1:45" x14ac:dyDescent="0.35">
      <c r="A6" s="158" t="s">
        <v>707</v>
      </c>
      <c r="B6" s="158"/>
      <c r="C6" s="158">
        <f t="shared" si="0"/>
        <v>1</v>
      </c>
      <c r="D6" s="158">
        <v>5.0000000000000001E-3</v>
      </c>
      <c r="E6" s="158">
        <f t="shared" si="1"/>
        <v>1</v>
      </c>
      <c r="F6" s="158">
        <v>2E-3</v>
      </c>
      <c r="G6" s="158" t="str">
        <f t="shared" si="2"/>
        <v>Short</v>
      </c>
      <c r="H6" s="158" t="str">
        <f t="shared" si="3"/>
        <v>Open</v>
      </c>
      <c r="I6" s="158">
        <v>2.5</v>
      </c>
      <c r="J6" s="158" t="s">
        <v>700</v>
      </c>
      <c r="K6" s="158" t="s">
        <v>708</v>
      </c>
      <c r="L6" s="158" t="s">
        <v>702</v>
      </c>
      <c r="M6" s="247" t="s">
        <v>709</v>
      </c>
      <c r="N6" s="161" t="s">
        <v>25</v>
      </c>
      <c r="O6" s="238" t="s">
        <v>29</v>
      </c>
      <c r="P6" s="238" t="s">
        <v>25</v>
      </c>
      <c r="Q6" s="238" t="s">
        <v>25</v>
      </c>
      <c r="R6" s="238" t="s">
        <v>25</v>
      </c>
      <c r="S6" s="238" t="s">
        <v>25</v>
      </c>
      <c r="T6" s="238" t="s">
        <v>25</v>
      </c>
      <c r="U6" s="162" t="s">
        <v>25</v>
      </c>
      <c r="V6" s="161" t="s">
        <v>25</v>
      </c>
      <c r="W6" s="238" t="s">
        <v>29</v>
      </c>
      <c r="X6" s="238" t="s">
        <v>25</v>
      </c>
      <c r="Y6" s="238" t="s">
        <v>25</v>
      </c>
      <c r="Z6" s="238" t="s">
        <v>25</v>
      </c>
      <c r="AA6" s="238" t="s">
        <v>25</v>
      </c>
      <c r="AB6" s="238" t="s">
        <v>25</v>
      </c>
      <c r="AC6" s="162" t="s">
        <v>25</v>
      </c>
      <c r="AD6" s="161" t="s">
        <v>29</v>
      </c>
      <c r="AE6" s="238" t="s">
        <v>25</v>
      </c>
      <c r="AF6" s="238" t="s">
        <v>25</v>
      </c>
      <c r="AG6" s="238" t="s">
        <v>25</v>
      </c>
      <c r="AH6" s="238" t="s">
        <v>25</v>
      </c>
      <c r="AI6" s="238" t="s">
        <v>25</v>
      </c>
      <c r="AJ6" s="238" t="s">
        <v>25</v>
      </c>
      <c r="AK6" s="162" t="s">
        <v>25</v>
      </c>
      <c r="AL6" s="161" t="s">
        <v>25</v>
      </c>
      <c r="AM6" s="238" t="s">
        <v>25</v>
      </c>
      <c r="AN6" s="238" t="s">
        <v>25</v>
      </c>
      <c r="AO6" s="238" t="s">
        <v>25</v>
      </c>
      <c r="AP6" s="238" t="s">
        <v>25</v>
      </c>
      <c r="AQ6" s="238" t="s">
        <v>25</v>
      </c>
      <c r="AR6" s="238" t="s">
        <v>25</v>
      </c>
      <c r="AS6" s="162" t="s">
        <v>25</v>
      </c>
    </row>
    <row r="7" spans="1:45" x14ac:dyDescent="0.35">
      <c r="A7" s="158" t="s">
        <v>710</v>
      </c>
      <c r="B7" s="158"/>
      <c r="C7" s="158">
        <f t="shared" si="0"/>
        <v>1</v>
      </c>
      <c r="D7" s="158">
        <v>5.0000000000000001E-3</v>
      </c>
      <c r="E7" s="158">
        <f t="shared" si="1"/>
        <v>1</v>
      </c>
      <c r="F7" s="158">
        <v>2E-3</v>
      </c>
      <c r="G7" s="158" t="str">
        <f t="shared" si="2"/>
        <v>Short</v>
      </c>
      <c r="H7" s="158" t="str">
        <f t="shared" si="3"/>
        <v>Open</v>
      </c>
      <c r="I7" s="158">
        <v>2.5</v>
      </c>
      <c r="J7" s="158" t="s">
        <v>700</v>
      </c>
      <c r="K7" s="158" t="s">
        <v>711</v>
      </c>
      <c r="L7" s="158" t="s">
        <v>702</v>
      </c>
      <c r="M7" s="247" t="s">
        <v>712</v>
      </c>
      <c r="N7" s="161" t="s">
        <v>25</v>
      </c>
      <c r="O7" s="238" t="s">
        <v>29</v>
      </c>
      <c r="P7" s="238" t="s">
        <v>25</v>
      </c>
      <c r="Q7" s="238" t="s">
        <v>25</v>
      </c>
      <c r="R7" s="238" t="s">
        <v>25</v>
      </c>
      <c r="S7" s="238" t="s">
        <v>25</v>
      </c>
      <c r="T7" s="238" t="s">
        <v>25</v>
      </c>
      <c r="U7" s="162" t="s">
        <v>25</v>
      </c>
      <c r="V7" s="161" t="s">
        <v>25</v>
      </c>
      <c r="W7" s="238" t="s">
        <v>29</v>
      </c>
      <c r="X7" s="238" t="s">
        <v>25</v>
      </c>
      <c r="Y7" s="238" t="s">
        <v>25</v>
      </c>
      <c r="Z7" s="238" t="s">
        <v>25</v>
      </c>
      <c r="AA7" s="238" t="s">
        <v>25</v>
      </c>
      <c r="AB7" s="238" t="s">
        <v>25</v>
      </c>
      <c r="AC7" s="162" t="s">
        <v>25</v>
      </c>
      <c r="AD7" s="161" t="s">
        <v>29</v>
      </c>
      <c r="AE7" s="238" t="s">
        <v>25</v>
      </c>
      <c r="AF7" s="238" t="s">
        <v>25</v>
      </c>
      <c r="AG7" s="238" t="s">
        <v>25</v>
      </c>
      <c r="AH7" s="238" t="s">
        <v>25</v>
      </c>
      <c r="AI7" s="238" t="s">
        <v>25</v>
      </c>
      <c r="AJ7" s="238" t="s">
        <v>25</v>
      </c>
      <c r="AK7" s="162" t="s">
        <v>25</v>
      </c>
      <c r="AL7" s="161" t="s">
        <v>25</v>
      </c>
      <c r="AM7" s="238" t="s">
        <v>25</v>
      </c>
      <c r="AN7" s="238" t="s">
        <v>25</v>
      </c>
      <c r="AO7" s="238" t="s">
        <v>25</v>
      </c>
      <c r="AP7" s="238" t="s">
        <v>25</v>
      </c>
      <c r="AQ7" s="238" t="s">
        <v>25</v>
      </c>
      <c r="AR7" s="238" t="s">
        <v>25</v>
      </c>
      <c r="AS7" s="162" t="s">
        <v>25</v>
      </c>
    </row>
    <row r="8" spans="1:45" x14ac:dyDescent="0.35">
      <c r="A8" s="158" t="s">
        <v>713</v>
      </c>
      <c r="B8" s="158"/>
      <c r="C8" s="158">
        <f t="shared" si="0"/>
        <v>1</v>
      </c>
      <c r="D8" s="158">
        <v>5.0000000000000001E-3</v>
      </c>
      <c r="E8" s="158">
        <f t="shared" si="1"/>
        <v>1</v>
      </c>
      <c r="F8" s="158">
        <v>2E-3</v>
      </c>
      <c r="G8" s="158" t="str">
        <f t="shared" si="2"/>
        <v>Short</v>
      </c>
      <c r="H8" s="158" t="str">
        <f t="shared" si="3"/>
        <v>Open</v>
      </c>
      <c r="I8" s="158">
        <v>2.5</v>
      </c>
      <c r="J8" s="158" t="s">
        <v>714</v>
      </c>
      <c r="K8" s="158" t="s">
        <v>701</v>
      </c>
      <c r="L8" s="158" t="s">
        <v>715</v>
      </c>
      <c r="M8" s="247" t="s">
        <v>703</v>
      </c>
      <c r="N8" s="161" t="s">
        <v>25</v>
      </c>
      <c r="O8" s="238" t="s">
        <v>29</v>
      </c>
      <c r="P8" s="238" t="s">
        <v>25</v>
      </c>
      <c r="Q8" s="238" t="s">
        <v>25</v>
      </c>
      <c r="R8" s="238" t="s">
        <v>25</v>
      </c>
      <c r="S8" s="238" t="s">
        <v>25</v>
      </c>
      <c r="T8" s="238" t="s">
        <v>25</v>
      </c>
      <c r="U8" s="162" t="s">
        <v>25</v>
      </c>
      <c r="V8" s="161" t="s">
        <v>25</v>
      </c>
      <c r="W8" s="238" t="s">
        <v>29</v>
      </c>
      <c r="X8" s="238" t="s">
        <v>25</v>
      </c>
      <c r="Y8" s="238" t="s">
        <v>25</v>
      </c>
      <c r="Z8" s="238" t="s">
        <v>25</v>
      </c>
      <c r="AA8" s="238" t="s">
        <v>25</v>
      </c>
      <c r="AB8" s="238" t="s">
        <v>25</v>
      </c>
      <c r="AC8" s="162" t="s">
        <v>25</v>
      </c>
      <c r="AD8" s="161" t="s">
        <v>29</v>
      </c>
      <c r="AE8" s="238" t="s">
        <v>25</v>
      </c>
      <c r="AF8" s="238" t="s">
        <v>25</v>
      </c>
      <c r="AG8" s="238" t="s">
        <v>25</v>
      </c>
      <c r="AH8" s="238" t="s">
        <v>25</v>
      </c>
      <c r="AI8" s="238" t="s">
        <v>25</v>
      </c>
      <c r="AJ8" s="238" t="s">
        <v>25</v>
      </c>
      <c r="AK8" s="162" t="s">
        <v>25</v>
      </c>
      <c r="AL8" s="161" t="s">
        <v>25</v>
      </c>
      <c r="AM8" s="238" t="s">
        <v>25</v>
      </c>
      <c r="AN8" s="238" t="s">
        <v>25</v>
      </c>
      <c r="AO8" s="238" t="s">
        <v>25</v>
      </c>
      <c r="AP8" s="238" t="s">
        <v>25</v>
      </c>
      <c r="AQ8" s="238" t="s">
        <v>25</v>
      </c>
      <c r="AR8" s="238" t="s">
        <v>25</v>
      </c>
      <c r="AS8" s="162" t="s">
        <v>25</v>
      </c>
    </row>
    <row r="9" spans="1:45" x14ac:dyDescent="0.35">
      <c r="A9" s="158" t="s">
        <v>716</v>
      </c>
      <c r="B9" s="158"/>
      <c r="C9" s="158">
        <f t="shared" si="0"/>
        <v>1</v>
      </c>
      <c r="D9" s="158">
        <v>5.0000000000000001E-3</v>
      </c>
      <c r="E9" s="158">
        <f t="shared" si="1"/>
        <v>1</v>
      </c>
      <c r="F9" s="158">
        <v>2E-3</v>
      </c>
      <c r="G9" s="158" t="str">
        <f t="shared" si="2"/>
        <v>Short</v>
      </c>
      <c r="H9" s="158" t="str">
        <f t="shared" si="3"/>
        <v>Open</v>
      </c>
      <c r="I9" s="158">
        <v>2.5</v>
      </c>
      <c r="J9" s="158" t="s">
        <v>714</v>
      </c>
      <c r="K9" s="158" t="s">
        <v>705</v>
      </c>
      <c r="L9" s="158" t="s">
        <v>715</v>
      </c>
      <c r="M9" s="247" t="s">
        <v>706</v>
      </c>
      <c r="N9" s="161" t="s">
        <v>25</v>
      </c>
      <c r="O9" s="238" t="s">
        <v>29</v>
      </c>
      <c r="P9" s="238" t="s">
        <v>25</v>
      </c>
      <c r="Q9" s="238" t="s">
        <v>25</v>
      </c>
      <c r="R9" s="238" t="s">
        <v>25</v>
      </c>
      <c r="S9" s="238" t="s">
        <v>25</v>
      </c>
      <c r="T9" s="238" t="s">
        <v>25</v>
      </c>
      <c r="U9" s="162" t="s">
        <v>25</v>
      </c>
      <c r="V9" s="161" t="s">
        <v>25</v>
      </c>
      <c r="W9" s="238" t="s">
        <v>29</v>
      </c>
      <c r="X9" s="238" t="s">
        <v>25</v>
      </c>
      <c r="Y9" s="238" t="s">
        <v>25</v>
      </c>
      <c r="Z9" s="238" t="s">
        <v>25</v>
      </c>
      <c r="AA9" s="238" t="s">
        <v>25</v>
      </c>
      <c r="AB9" s="238" t="s">
        <v>25</v>
      </c>
      <c r="AC9" s="162" t="s">
        <v>25</v>
      </c>
      <c r="AD9" s="161" t="s">
        <v>29</v>
      </c>
      <c r="AE9" s="238" t="s">
        <v>25</v>
      </c>
      <c r="AF9" s="238" t="s">
        <v>25</v>
      </c>
      <c r="AG9" s="238" t="s">
        <v>25</v>
      </c>
      <c r="AH9" s="238" t="s">
        <v>25</v>
      </c>
      <c r="AI9" s="238" t="s">
        <v>25</v>
      </c>
      <c r="AJ9" s="238" t="s">
        <v>25</v>
      </c>
      <c r="AK9" s="162" t="s">
        <v>25</v>
      </c>
      <c r="AL9" s="161" t="s">
        <v>25</v>
      </c>
      <c r="AM9" s="238" t="s">
        <v>25</v>
      </c>
      <c r="AN9" s="238" t="s">
        <v>25</v>
      </c>
      <c r="AO9" s="238" t="s">
        <v>25</v>
      </c>
      <c r="AP9" s="238" t="s">
        <v>25</v>
      </c>
      <c r="AQ9" s="238" t="s">
        <v>25</v>
      </c>
      <c r="AR9" s="238" t="s">
        <v>25</v>
      </c>
      <c r="AS9" s="162" t="s">
        <v>25</v>
      </c>
    </row>
    <row r="10" spans="1:45" x14ac:dyDescent="0.35">
      <c r="A10" s="158" t="s">
        <v>717</v>
      </c>
      <c r="B10" s="158"/>
      <c r="C10" s="158">
        <f t="shared" si="0"/>
        <v>1</v>
      </c>
      <c r="D10" s="158">
        <v>5.0000000000000001E-3</v>
      </c>
      <c r="E10" s="158">
        <f t="shared" si="1"/>
        <v>1</v>
      </c>
      <c r="F10" s="158">
        <v>2E-3</v>
      </c>
      <c r="G10" s="158" t="str">
        <f t="shared" si="2"/>
        <v>Short</v>
      </c>
      <c r="H10" s="158" t="str">
        <f t="shared" si="3"/>
        <v>Open</v>
      </c>
      <c r="I10" s="158">
        <v>2.5</v>
      </c>
      <c r="J10" s="158" t="s">
        <v>714</v>
      </c>
      <c r="K10" s="158" t="s">
        <v>708</v>
      </c>
      <c r="L10" s="158" t="s">
        <v>715</v>
      </c>
      <c r="M10" s="247" t="s">
        <v>709</v>
      </c>
      <c r="N10" s="161" t="s">
        <v>25</v>
      </c>
      <c r="O10" s="238" t="s">
        <v>29</v>
      </c>
      <c r="P10" s="238" t="s">
        <v>25</v>
      </c>
      <c r="Q10" s="238" t="s">
        <v>25</v>
      </c>
      <c r="R10" s="238" t="s">
        <v>25</v>
      </c>
      <c r="S10" s="238" t="s">
        <v>25</v>
      </c>
      <c r="T10" s="238" t="s">
        <v>25</v>
      </c>
      <c r="U10" s="162" t="s">
        <v>25</v>
      </c>
      <c r="V10" s="161" t="s">
        <v>25</v>
      </c>
      <c r="W10" s="238" t="s">
        <v>29</v>
      </c>
      <c r="X10" s="238" t="s">
        <v>25</v>
      </c>
      <c r="Y10" s="238" t="s">
        <v>25</v>
      </c>
      <c r="Z10" s="238" t="s">
        <v>25</v>
      </c>
      <c r="AA10" s="238" t="s">
        <v>25</v>
      </c>
      <c r="AB10" s="238" t="s">
        <v>25</v>
      </c>
      <c r="AC10" s="162" t="s">
        <v>25</v>
      </c>
      <c r="AD10" s="161" t="s">
        <v>29</v>
      </c>
      <c r="AE10" s="238" t="s">
        <v>25</v>
      </c>
      <c r="AF10" s="238" t="s">
        <v>25</v>
      </c>
      <c r="AG10" s="238" t="s">
        <v>25</v>
      </c>
      <c r="AH10" s="238" t="s">
        <v>25</v>
      </c>
      <c r="AI10" s="238" t="s">
        <v>25</v>
      </c>
      <c r="AJ10" s="238" t="s">
        <v>25</v>
      </c>
      <c r="AK10" s="162" t="s">
        <v>25</v>
      </c>
      <c r="AL10" s="161" t="s">
        <v>25</v>
      </c>
      <c r="AM10" s="238" t="s">
        <v>25</v>
      </c>
      <c r="AN10" s="238" t="s">
        <v>25</v>
      </c>
      <c r="AO10" s="238" t="s">
        <v>25</v>
      </c>
      <c r="AP10" s="238" t="s">
        <v>25</v>
      </c>
      <c r="AQ10" s="238" t="s">
        <v>25</v>
      </c>
      <c r="AR10" s="238" t="s">
        <v>25</v>
      </c>
      <c r="AS10" s="162" t="s">
        <v>25</v>
      </c>
    </row>
    <row r="11" spans="1:45" ht="15" customHeight="1" thickBot="1" x14ac:dyDescent="0.4">
      <c r="A11" s="158" t="s">
        <v>718</v>
      </c>
      <c r="B11" s="158"/>
      <c r="C11" s="158">
        <f t="shared" si="0"/>
        <v>1</v>
      </c>
      <c r="D11" s="158">
        <v>5.0000000000000001E-3</v>
      </c>
      <c r="E11" s="158">
        <f t="shared" si="1"/>
        <v>1</v>
      </c>
      <c r="F11" s="158">
        <v>2E-3</v>
      </c>
      <c r="G11" s="158" t="str">
        <f t="shared" si="2"/>
        <v>Short</v>
      </c>
      <c r="H11" s="158" t="str">
        <f t="shared" si="3"/>
        <v>Open</v>
      </c>
      <c r="I11" s="158">
        <v>2.5</v>
      </c>
      <c r="J11" s="158" t="s">
        <v>714</v>
      </c>
      <c r="K11" s="158" t="s">
        <v>711</v>
      </c>
      <c r="L11" s="158" t="s">
        <v>715</v>
      </c>
      <c r="M11" s="247" t="s">
        <v>712</v>
      </c>
      <c r="N11" s="163" t="s">
        <v>25</v>
      </c>
      <c r="O11" s="164" t="s">
        <v>29</v>
      </c>
      <c r="P11" s="164" t="s">
        <v>25</v>
      </c>
      <c r="Q11" s="164" t="s">
        <v>25</v>
      </c>
      <c r="R11" s="164" t="s">
        <v>25</v>
      </c>
      <c r="S11" s="164" t="s">
        <v>25</v>
      </c>
      <c r="T11" s="164" t="s">
        <v>25</v>
      </c>
      <c r="U11" s="165" t="s">
        <v>25</v>
      </c>
      <c r="V11" s="163" t="s">
        <v>25</v>
      </c>
      <c r="W11" s="164" t="s">
        <v>29</v>
      </c>
      <c r="X11" s="164" t="s">
        <v>25</v>
      </c>
      <c r="Y11" s="164" t="s">
        <v>25</v>
      </c>
      <c r="Z11" s="164" t="s">
        <v>25</v>
      </c>
      <c r="AA11" s="164" t="s">
        <v>25</v>
      </c>
      <c r="AB11" s="164" t="s">
        <v>25</v>
      </c>
      <c r="AC11" s="165" t="s">
        <v>25</v>
      </c>
      <c r="AD11" s="163" t="s">
        <v>29</v>
      </c>
      <c r="AE11" s="164" t="s">
        <v>25</v>
      </c>
      <c r="AF11" s="164" t="s">
        <v>25</v>
      </c>
      <c r="AG11" s="164" t="s">
        <v>25</v>
      </c>
      <c r="AH11" s="164" t="s">
        <v>25</v>
      </c>
      <c r="AI11" s="164" t="s">
        <v>25</v>
      </c>
      <c r="AJ11" s="164" t="s">
        <v>25</v>
      </c>
      <c r="AK11" s="165" t="s">
        <v>25</v>
      </c>
      <c r="AL11" s="163" t="s">
        <v>25</v>
      </c>
      <c r="AM11" s="164" t="s">
        <v>25</v>
      </c>
      <c r="AN11" s="164" t="s">
        <v>25</v>
      </c>
      <c r="AO11" s="164" t="s">
        <v>25</v>
      </c>
      <c r="AP11" s="164" t="s">
        <v>25</v>
      </c>
      <c r="AQ11" s="164" t="s">
        <v>25</v>
      </c>
      <c r="AR11" s="164" t="s">
        <v>25</v>
      </c>
      <c r="AS11" s="165" t="s">
        <v>25</v>
      </c>
    </row>
    <row r="12" spans="1:45" ht="15" customHeight="1" thickBot="1" x14ac:dyDescent="0.4"/>
    <row r="13" spans="1:45" ht="15" customHeight="1" thickBot="1" x14ac:dyDescent="0.4">
      <c r="A13" s="166"/>
      <c r="B13" s="167"/>
      <c r="C13" s="167"/>
      <c r="D13" s="167"/>
      <c r="E13" s="167"/>
      <c r="F13" s="167"/>
      <c r="G13" s="167"/>
      <c r="H13" s="167"/>
      <c r="I13" s="167"/>
      <c r="J13" s="167"/>
      <c r="K13" s="167"/>
      <c r="L13" s="167"/>
      <c r="M13" s="167"/>
      <c r="N13" s="329" t="s">
        <v>719</v>
      </c>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1"/>
    </row>
    <row r="14" spans="1:45" x14ac:dyDescent="0.35">
      <c r="A14" s="332" t="s">
        <v>720</v>
      </c>
      <c r="B14" s="310"/>
      <c r="C14" s="310"/>
      <c r="D14" s="310"/>
      <c r="E14" s="310"/>
      <c r="F14" s="310"/>
      <c r="G14" s="310"/>
      <c r="H14" s="310"/>
      <c r="I14" s="310"/>
      <c r="J14" s="310"/>
      <c r="K14" s="310"/>
      <c r="L14" s="310"/>
      <c r="M14" s="310"/>
      <c r="N14" s="168" t="s">
        <v>721</v>
      </c>
      <c r="O14" s="169" t="s">
        <v>722</v>
      </c>
      <c r="P14" s="169" t="s">
        <v>723</v>
      </c>
      <c r="Q14" s="169" t="s">
        <v>724</v>
      </c>
      <c r="R14" s="169" t="s">
        <v>725</v>
      </c>
      <c r="S14" s="169" t="s">
        <v>726</v>
      </c>
      <c r="T14" s="169" t="s">
        <v>727</v>
      </c>
      <c r="U14" s="170" t="s">
        <v>728</v>
      </c>
      <c r="V14" s="168" t="s">
        <v>721</v>
      </c>
      <c r="W14" s="169" t="s">
        <v>722</v>
      </c>
      <c r="X14" s="169" t="s">
        <v>723</v>
      </c>
      <c r="Y14" s="169" t="s">
        <v>724</v>
      </c>
      <c r="Z14" s="169" t="s">
        <v>725</v>
      </c>
      <c r="AA14" s="169" t="s">
        <v>726</v>
      </c>
      <c r="AB14" s="169" t="s">
        <v>727</v>
      </c>
      <c r="AC14" s="170" t="s">
        <v>728</v>
      </c>
      <c r="AD14" s="168" t="s">
        <v>721</v>
      </c>
      <c r="AE14" s="169" t="s">
        <v>722</v>
      </c>
      <c r="AF14" s="169" t="s">
        <v>723</v>
      </c>
      <c r="AG14" s="169" t="s">
        <v>724</v>
      </c>
      <c r="AH14" s="169" t="s">
        <v>725</v>
      </c>
      <c r="AI14" s="169" t="s">
        <v>726</v>
      </c>
      <c r="AJ14" s="169" t="s">
        <v>727</v>
      </c>
      <c r="AK14" s="170" t="s">
        <v>728</v>
      </c>
      <c r="AL14" s="168" t="s">
        <v>721</v>
      </c>
      <c r="AM14" s="169" t="s">
        <v>722</v>
      </c>
      <c r="AN14" s="169" t="s">
        <v>723</v>
      </c>
      <c r="AO14" s="169" t="s">
        <v>724</v>
      </c>
      <c r="AP14" s="169" t="s">
        <v>725</v>
      </c>
      <c r="AQ14" s="169" t="s">
        <v>726</v>
      </c>
      <c r="AR14" s="169" t="s">
        <v>727</v>
      </c>
      <c r="AS14" s="170" t="s">
        <v>728</v>
      </c>
    </row>
    <row r="15" spans="1:45" x14ac:dyDescent="0.35">
      <c r="A15" s="332" t="str">
        <f t="shared" ref="A15:A22" si="4">A4</f>
        <v>R-01</v>
      </c>
      <c r="B15" s="310"/>
      <c r="C15" s="310"/>
      <c r="D15" s="310"/>
      <c r="E15" s="310"/>
      <c r="F15" s="310"/>
      <c r="G15" s="310"/>
      <c r="H15" s="310"/>
      <c r="I15" s="310"/>
      <c r="J15" s="310"/>
      <c r="K15" s="310"/>
      <c r="L15" s="310"/>
      <c r="M15" s="310"/>
      <c r="N15" s="157" t="str">
        <f t="shared" ref="N15:N22" si="5">IF(N4="YES","Short","Open")</f>
        <v>Open</v>
      </c>
      <c r="O15" s="158">
        <f t="shared" ref="O15:O22" si="6">IF(O4="YES",$O$2,"Open")</f>
        <v>1</v>
      </c>
      <c r="P15" s="158" t="str">
        <f t="shared" ref="P15:P22" si="7">IF(P4="YES",$P$2,"Open")</f>
        <v>Open</v>
      </c>
      <c r="Q15" s="158" t="str">
        <f t="shared" ref="Q15:Q22" si="8">IF(Q4="YES",$Q$2,"Open")</f>
        <v>Open</v>
      </c>
      <c r="R15" s="158" t="str">
        <f t="shared" ref="R15:R22" si="9">IF(R4="YES",$R$2,"Open")</f>
        <v>Open</v>
      </c>
      <c r="S15" s="158" t="str">
        <f t="shared" ref="S15:S22" si="10">IF(S4="YES",$S$2,"Open")</f>
        <v>Open</v>
      </c>
      <c r="T15" s="158" t="str">
        <f t="shared" ref="T15:T22" si="11">IF(T4="YES",$T$2,"Open")</f>
        <v>Open</v>
      </c>
      <c r="U15" s="159" t="str">
        <f t="shared" ref="U15:U22" si="12">IF(U4="YES",$U$2,"Open")</f>
        <v>Open</v>
      </c>
      <c r="V15" s="157" t="str">
        <f t="shared" ref="V15:V22" si="13">IF(V4="YES","Short","Open")</f>
        <v>Open</v>
      </c>
      <c r="W15" s="158">
        <f t="shared" ref="W15:W22" si="14">IF(W4="YES",$O$2,"Open")</f>
        <v>1</v>
      </c>
      <c r="X15" s="158" t="str">
        <f t="shared" ref="X15:X22" si="15">IF(X4="YES",$P$2,"Open")</f>
        <v>Open</v>
      </c>
      <c r="Y15" s="158" t="str">
        <f t="shared" ref="Y15:Y22" si="16">IF(Y4="YES",$Q$2,"Open")</f>
        <v>Open</v>
      </c>
      <c r="Z15" s="158" t="str">
        <f t="shared" ref="Z15:Z22" si="17">IF(Z4="YES",$R$2,"Open")</f>
        <v>Open</v>
      </c>
      <c r="AA15" s="158" t="str">
        <f t="shared" ref="AA15:AA22" si="18">IF(AA4="YES",$S$2,"Open")</f>
        <v>Open</v>
      </c>
      <c r="AB15" s="158" t="str">
        <f t="shared" ref="AB15:AB22" si="19">IF(AB4="YES",$T$2,"Open")</f>
        <v>Open</v>
      </c>
      <c r="AC15" s="159" t="str">
        <f t="shared" ref="AC15:AC22" si="20">IF(AC4="YES",$U$2,"Open")</f>
        <v>Open</v>
      </c>
      <c r="AD15" s="157" t="str">
        <f t="shared" ref="AD15:AD22" si="21">IF(AD4="YES","Short","Open")</f>
        <v>Short</v>
      </c>
      <c r="AE15" s="158" t="str">
        <f t="shared" ref="AE15:AE22" si="22">IF(AE4="YES",$O$2,"Open")</f>
        <v>Open</v>
      </c>
      <c r="AF15" s="158" t="str">
        <f t="shared" ref="AF15:AF22" si="23">IF(AF4="YES",$P$2,"Open")</f>
        <v>Open</v>
      </c>
      <c r="AG15" s="158" t="str">
        <f t="shared" ref="AG15:AG22" si="24">IF(AG4="YES",$Q$2,"Open")</f>
        <v>Open</v>
      </c>
      <c r="AH15" s="158" t="str">
        <f t="shared" ref="AH15:AH22" si="25">IF(AH4="YES",$R$2,"Open")</f>
        <v>Open</v>
      </c>
      <c r="AI15" s="158" t="str">
        <f t="shared" ref="AI15:AI22" si="26">IF(AI4="YES",$S$2,"Open")</f>
        <v>Open</v>
      </c>
      <c r="AJ15" s="158" t="str">
        <f t="shared" ref="AJ15:AJ22" si="27">IF(AJ4="YES",$T$2,"Open")</f>
        <v>Open</v>
      </c>
      <c r="AK15" s="159" t="str">
        <f t="shared" ref="AK15:AK22" si="28">IF(AK4="YES",$U$2,"Open")</f>
        <v>Open</v>
      </c>
      <c r="AL15" s="157" t="str">
        <f t="shared" ref="AL15:AL22" si="29">IF(AL4="YES","Short","Open")</f>
        <v>Open</v>
      </c>
      <c r="AM15" s="158" t="str">
        <f t="shared" ref="AM15:AM22" si="30">IF(AM4="YES",$O$2,"Open")</f>
        <v>Open</v>
      </c>
      <c r="AN15" s="158" t="str">
        <f t="shared" ref="AN15:AN22" si="31">IF(AN4="YES",$P$2,"Open")</f>
        <v>Open</v>
      </c>
      <c r="AO15" s="158" t="str">
        <f t="shared" ref="AO15:AO22" si="32">IF(AO4="YES",$Q$2,"Open")</f>
        <v>Open</v>
      </c>
      <c r="AP15" s="158" t="str">
        <f t="shared" ref="AP15:AP22" si="33">IF(AP4="YES",$R$2,"Open")</f>
        <v>Open</v>
      </c>
      <c r="AQ15" s="158" t="str">
        <f t="shared" ref="AQ15:AQ22" si="34">IF(AQ4="YES",$S$2,"Open")</f>
        <v>Open</v>
      </c>
      <c r="AR15" s="158" t="str">
        <f t="shared" ref="AR15:AR22" si="35">IF(AR4="YES",$T$2,"Open")</f>
        <v>Open</v>
      </c>
      <c r="AS15" s="159" t="str">
        <f t="shared" ref="AS15:AS22" si="36">IF(AS4="YES",$U$2,"Open")</f>
        <v>Open</v>
      </c>
    </row>
    <row r="16" spans="1:45" x14ac:dyDescent="0.35">
      <c r="A16" s="332" t="str">
        <f t="shared" si="4"/>
        <v>R-02</v>
      </c>
      <c r="B16" s="310"/>
      <c r="C16" s="310"/>
      <c r="D16" s="310"/>
      <c r="E16" s="310"/>
      <c r="F16" s="310"/>
      <c r="G16" s="310"/>
      <c r="H16" s="310"/>
      <c r="I16" s="310"/>
      <c r="J16" s="310"/>
      <c r="K16" s="310"/>
      <c r="L16" s="310"/>
      <c r="M16" s="310"/>
      <c r="N16" s="157" t="str">
        <f t="shared" si="5"/>
        <v>Open</v>
      </c>
      <c r="O16" s="158">
        <f t="shared" si="6"/>
        <v>1</v>
      </c>
      <c r="P16" s="158" t="str">
        <f t="shared" si="7"/>
        <v>Open</v>
      </c>
      <c r="Q16" s="158" t="str">
        <f t="shared" si="8"/>
        <v>Open</v>
      </c>
      <c r="R16" s="158" t="str">
        <f t="shared" si="9"/>
        <v>Open</v>
      </c>
      <c r="S16" s="158" t="str">
        <f t="shared" si="10"/>
        <v>Open</v>
      </c>
      <c r="T16" s="158" t="str">
        <f t="shared" si="11"/>
        <v>Open</v>
      </c>
      <c r="U16" s="159" t="str">
        <f t="shared" si="12"/>
        <v>Open</v>
      </c>
      <c r="V16" s="157" t="str">
        <f t="shared" si="13"/>
        <v>Open</v>
      </c>
      <c r="W16" s="158">
        <f t="shared" si="14"/>
        <v>1</v>
      </c>
      <c r="X16" s="158" t="str">
        <f t="shared" si="15"/>
        <v>Open</v>
      </c>
      <c r="Y16" s="158" t="str">
        <f t="shared" si="16"/>
        <v>Open</v>
      </c>
      <c r="Z16" s="158" t="str">
        <f t="shared" si="17"/>
        <v>Open</v>
      </c>
      <c r="AA16" s="158" t="str">
        <f t="shared" si="18"/>
        <v>Open</v>
      </c>
      <c r="AB16" s="158" t="str">
        <f t="shared" si="19"/>
        <v>Open</v>
      </c>
      <c r="AC16" s="159" t="str">
        <f t="shared" si="20"/>
        <v>Open</v>
      </c>
      <c r="AD16" s="157" t="str">
        <f t="shared" si="21"/>
        <v>Short</v>
      </c>
      <c r="AE16" s="158" t="str">
        <f t="shared" si="22"/>
        <v>Open</v>
      </c>
      <c r="AF16" s="158" t="str">
        <f t="shared" si="23"/>
        <v>Open</v>
      </c>
      <c r="AG16" s="158" t="str">
        <f t="shared" si="24"/>
        <v>Open</v>
      </c>
      <c r="AH16" s="158" t="str">
        <f t="shared" si="25"/>
        <v>Open</v>
      </c>
      <c r="AI16" s="158" t="str">
        <f t="shared" si="26"/>
        <v>Open</v>
      </c>
      <c r="AJ16" s="158" t="str">
        <f t="shared" si="27"/>
        <v>Open</v>
      </c>
      <c r="AK16" s="159" t="str">
        <f t="shared" si="28"/>
        <v>Open</v>
      </c>
      <c r="AL16" s="157" t="str">
        <f t="shared" si="29"/>
        <v>Open</v>
      </c>
      <c r="AM16" s="158" t="str">
        <f t="shared" si="30"/>
        <v>Open</v>
      </c>
      <c r="AN16" s="158" t="str">
        <f t="shared" si="31"/>
        <v>Open</v>
      </c>
      <c r="AO16" s="158" t="str">
        <f t="shared" si="32"/>
        <v>Open</v>
      </c>
      <c r="AP16" s="158" t="str">
        <f t="shared" si="33"/>
        <v>Open</v>
      </c>
      <c r="AQ16" s="158" t="str">
        <f t="shared" si="34"/>
        <v>Open</v>
      </c>
      <c r="AR16" s="158" t="str">
        <f t="shared" si="35"/>
        <v>Open</v>
      </c>
      <c r="AS16" s="159" t="str">
        <f t="shared" si="36"/>
        <v>Open</v>
      </c>
    </row>
    <row r="17" spans="1:45" x14ac:dyDescent="0.35">
      <c r="A17" s="332" t="str">
        <f t="shared" si="4"/>
        <v>R-03</v>
      </c>
      <c r="B17" s="310"/>
      <c r="C17" s="310"/>
      <c r="D17" s="310"/>
      <c r="E17" s="310"/>
      <c r="F17" s="310"/>
      <c r="G17" s="310"/>
      <c r="H17" s="310"/>
      <c r="I17" s="310"/>
      <c r="J17" s="310"/>
      <c r="K17" s="310"/>
      <c r="L17" s="310"/>
      <c r="M17" s="310"/>
      <c r="N17" s="157" t="str">
        <f t="shared" si="5"/>
        <v>Open</v>
      </c>
      <c r="O17" s="158">
        <f t="shared" si="6"/>
        <v>1</v>
      </c>
      <c r="P17" s="158" t="str">
        <f t="shared" si="7"/>
        <v>Open</v>
      </c>
      <c r="Q17" s="158" t="str">
        <f t="shared" si="8"/>
        <v>Open</v>
      </c>
      <c r="R17" s="158" t="str">
        <f t="shared" si="9"/>
        <v>Open</v>
      </c>
      <c r="S17" s="158" t="str">
        <f t="shared" si="10"/>
        <v>Open</v>
      </c>
      <c r="T17" s="158" t="str">
        <f t="shared" si="11"/>
        <v>Open</v>
      </c>
      <c r="U17" s="159" t="str">
        <f t="shared" si="12"/>
        <v>Open</v>
      </c>
      <c r="V17" s="157" t="str">
        <f t="shared" si="13"/>
        <v>Open</v>
      </c>
      <c r="W17" s="158">
        <f t="shared" si="14"/>
        <v>1</v>
      </c>
      <c r="X17" s="158" t="str">
        <f t="shared" si="15"/>
        <v>Open</v>
      </c>
      <c r="Y17" s="158" t="str">
        <f t="shared" si="16"/>
        <v>Open</v>
      </c>
      <c r="Z17" s="158" t="str">
        <f t="shared" si="17"/>
        <v>Open</v>
      </c>
      <c r="AA17" s="158" t="str">
        <f t="shared" si="18"/>
        <v>Open</v>
      </c>
      <c r="AB17" s="158" t="str">
        <f t="shared" si="19"/>
        <v>Open</v>
      </c>
      <c r="AC17" s="159" t="str">
        <f t="shared" si="20"/>
        <v>Open</v>
      </c>
      <c r="AD17" s="157" t="str">
        <f t="shared" si="21"/>
        <v>Short</v>
      </c>
      <c r="AE17" s="158" t="str">
        <f t="shared" si="22"/>
        <v>Open</v>
      </c>
      <c r="AF17" s="158" t="str">
        <f t="shared" si="23"/>
        <v>Open</v>
      </c>
      <c r="AG17" s="158" t="str">
        <f t="shared" si="24"/>
        <v>Open</v>
      </c>
      <c r="AH17" s="158" t="str">
        <f t="shared" si="25"/>
        <v>Open</v>
      </c>
      <c r="AI17" s="158" t="str">
        <f t="shared" si="26"/>
        <v>Open</v>
      </c>
      <c r="AJ17" s="158" t="str">
        <f t="shared" si="27"/>
        <v>Open</v>
      </c>
      <c r="AK17" s="159" t="str">
        <f t="shared" si="28"/>
        <v>Open</v>
      </c>
      <c r="AL17" s="157" t="str">
        <f t="shared" si="29"/>
        <v>Open</v>
      </c>
      <c r="AM17" s="158" t="str">
        <f t="shared" si="30"/>
        <v>Open</v>
      </c>
      <c r="AN17" s="158" t="str">
        <f t="shared" si="31"/>
        <v>Open</v>
      </c>
      <c r="AO17" s="158" t="str">
        <f t="shared" si="32"/>
        <v>Open</v>
      </c>
      <c r="AP17" s="158" t="str">
        <f t="shared" si="33"/>
        <v>Open</v>
      </c>
      <c r="AQ17" s="158" t="str">
        <f t="shared" si="34"/>
        <v>Open</v>
      </c>
      <c r="AR17" s="158" t="str">
        <f t="shared" si="35"/>
        <v>Open</v>
      </c>
      <c r="AS17" s="159" t="str">
        <f t="shared" si="36"/>
        <v>Open</v>
      </c>
    </row>
    <row r="18" spans="1:45" x14ac:dyDescent="0.35">
      <c r="A18" s="332" t="str">
        <f t="shared" si="4"/>
        <v>R-04</v>
      </c>
      <c r="B18" s="310"/>
      <c r="C18" s="310"/>
      <c r="D18" s="310"/>
      <c r="E18" s="310"/>
      <c r="F18" s="310"/>
      <c r="G18" s="310"/>
      <c r="H18" s="310"/>
      <c r="I18" s="310"/>
      <c r="J18" s="310"/>
      <c r="K18" s="310"/>
      <c r="L18" s="310"/>
      <c r="M18" s="310"/>
      <c r="N18" s="157" t="str">
        <f t="shared" si="5"/>
        <v>Open</v>
      </c>
      <c r="O18" s="158">
        <f t="shared" si="6"/>
        <v>1</v>
      </c>
      <c r="P18" s="158" t="str">
        <f t="shared" si="7"/>
        <v>Open</v>
      </c>
      <c r="Q18" s="158" t="str">
        <f t="shared" si="8"/>
        <v>Open</v>
      </c>
      <c r="R18" s="158" t="str">
        <f t="shared" si="9"/>
        <v>Open</v>
      </c>
      <c r="S18" s="158" t="str">
        <f t="shared" si="10"/>
        <v>Open</v>
      </c>
      <c r="T18" s="158" t="str">
        <f t="shared" si="11"/>
        <v>Open</v>
      </c>
      <c r="U18" s="159" t="str">
        <f t="shared" si="12"/>
        <v>Open</v>
      </c>
      <c r="V18" s="157" t="str">
        <f t="shared" si="13"/>
        <v>Open</v>
      </c>
      <c r="W18" s="158">
        <f t="shared" si="14"/>
        <v>1</v>
      </c>
      <c r="X18" s="158" t="str">
        <f t="shared" si="15"/>
        <v>Open</v>
      </c>
      <c r="Y18" s="158" t="str">
        <f t="shared" si="16"/>
        <v>Open</v>
      </c>
      <c r="Z18" s="158" t="str">
        <f t="shared" si="17"/>
        <v>Open</v>
      </c>
      <c r="AA18" s="158" t="str">
        <f t="shared" si="18"/>
        <v>Open</v>
      </c>
      <c r="AB18" s="158" t="str">
        <f t="shared" si="19"/>
        <v>Open</v>
      </c>
      <c r="AC18" s="159" t="str">
        <f t="shared" si="20"/>
        <v>Open</v>
      </c>
      <c r="AD18" s="157" t="str">
        <f t="shared" si="21"/>
        <v>Short</v>
      </c>
      <c r="AE18" s="158" t="str">
        <f t="shared" si="22"/>
        <v>Open</v>
      </c>
      <c r="AF18" s="158" t="str">
        <f t="shared" si="23"/>
        <v>Open</v>
      </c>
      <c r="AG18" s="158" t="str">
        <f t="shared" si="24"/>
        <v>Open</v>
      </c>
      <c r="AH18" s="158" t="str">
        <f t="shared" si="25"/>
        <v>Open</v>
      </c>
      <c r="AI18" s="158" t="str">
        <f t="shared" si="26"/>
        <v>Open</v>
      </c>
      <c r="AJ18" s="158" t="str">
        <f t="shared" si="27"/>
        <v>Open</v>
      </c>
      <c r="AK18" s="159" t="str">
        <f t="shared" si="28"/>
        <v>Open</v>
      </c>
      <c r="AL18" s="157" t="str">
        <f t="shared" si="29"/>
        <v>Open</v>
      </c>
      <c r="AM18" s="158" t="str">
        <f t="shared" si="30"/>
        <v>Open</v>
      </c>
      <c r="AN18" s="158" t="str">
        <f t="shared" si="31"/>
        <v>Open</v>
      </c>
      <c r="AO18" s="158" t="str">
        <f t="shared" si="32"/>
        <v>Open</v>
      </c>
      <c r="AP18" s="158" t="str">
        <f t="shared" si="33"/>
        <v>Open</v>
      </c>
      <c r="AQ18" s="158" t="str">
        <f t="shared" si="34"/>
        <v>Open</v>
      </c>
      <c r="AR18" s="158" t="str">
        <f t="shared" si="35"/>
        <v>Open</v>
      </c>
      <c r="AS18" s="159" t="str">
        <f t="shared" si="36"/>
        <v>Open</v>
      </c>
    </row>
    <row r="19" spans="1:45" x14ac:dyDescent="0.35">
      <c r="A19" s="332" t="str">
        <f t="shared" si="4"/>
        <v>R-05</v>
      </c>
      <c r="B19" s="310"/>
      <c r="C19" s="310"/>
      <c r="D19" s="310"/>
      <c r="E19" s="310"/>
      <c r="F19" s="310"/>
      <c r="G19" s="310"/>
      <c r="H19" s="310"/>
      <c r="I19" s="310"/>
      <c r="J19" s="310"/>
      <c r="K19" s="310"/>
      <c r="L19" s="310"/>
      <c r="M19" s="310"/>
      <c r="N19" s="157" t="str">
        <f t="shared" si="5"/>
        <v>Open</v>
      </c>
      <c r="O19" s="158">
        <f t="shared" si="6"/>
        <v>1</v>
      </c>
      <c r="P19" s="158" t="str">
        <f t="shared" si="7"/>
        <v>Open</v>
      </c>
      <c r="Q19" s="158" t="str">
        <f t="shared" si="8"/>
        <v>Open</v>
      </c>
      <c r="R19" s="158" t="str">
        <f t="shared" si="9"/>
        <v>Open</v>
      </c>
      <c r="S19" s="158" t="str">
        <f t="shared" si="10"/>
        <v>Open</v>
      </c>
      <c r="T19" s="158" t="str">
        <f t="shared" si="11"/>
        <v>Open</v>
      </c>
      <c r="U19" s="159" t="str">
        <f t="shared" si="12"/>
        <v>Open</v>
      </c>
      <c r="V19" s="157" t="str">
        <f t="shared" si="13"/>
        <v>Open</v>
      </c>
      <c r="W19" s="158">
        <f t="shared" si="14"/>
        <v>1</v>
      </c>
      <c r="X19" s="158" t="str">
        <f t="shared" si="15"/>
        <v>Open</v>
      </c>
      <c r="Y19" s="158" t="str">
        <f t="shared" si="16"/>
        <v>Open</v>
      </c>
      <c r="Z19" s="158" t="str">
        <f t="shared" si="17"/>
        <v>Open</v>
      </c>
      <c r="AA19" s="158" t="str">
        <f t="shared" si="18"/>
        <v>Open</v>
      </c>
      <c r="AB19" s="158" t="str">
        <f t="shared" si="19"/>
        <v>Open</v>
      </c>
      <c r="AC19" s="159" t="str">
        <f t="shared" si="20"/>
        <v>Open</v>
      </c>
      <c r="AD19" s="157" t="str">
        <f t="shared" si="21"/>
        <v>Short</v>
      </c>
      <c r="AE19" s="158" t="str">
        <f t="shared" si="22"/>
        <v>Open</v>
      </c>
      <c r="AF19" s="158" t="str">
        <f t="shared" si="23"/>
        <v>Open</v>
      </c>
      <c r="AG19" s="158" t="str">
        <f t="shared" si="24"/>
        <v>Open</v>
      </c>
      <c r="AH19" s="158" t="str">
        <f t="shared" si="25"/>
        <v>Open</v>
      </c>
      <c r="AI19" s="158" t="str">
        <f t="shared" si="26"/>
        <v>Open</v>
      </c>
      <c r="AJ19" s="158" t="str">
        <f t="shared" si="27"/>
        <v>Open</v>
      </c>
      <c r="AK19" s="159" t="str">
        <f t="shared" si="28"/>
        <v>Open</v>
      </c>
      <c r="AL19" s="157" t="str">
        <f t="shared" si="29"/>
        <v>Open</v>
      </c>
      <c r="AM19" s="158" t="str">
        <f t="shared" si="30"/>
        <v>Open</v>
      </c>
      <c r="AN19" s="158" t="str">
        <f t="shared" si="31"/>
        <v>Open</v>
      </c>
      <c r="AO19" s="158" t="str">
        <f t="shared" si="32"/>
        <v>Open</v>
      </c>
      <c r="AP19" s="158" t="str">
        <f t="shared" si="33"/>
        <v>Open</v>
      </c>
      <c r="AQ19" s="158" t="str">
        <f t="shared" si="34"/>
        <v>Open</v>
      </c>
      <c r="AR19" s="158" t="str">
        <f t="shared" si="35"/>
        <v>Open</v>
      </c>
      <c r="AS19" s="159" t="str">
        <f t="shared" si="36"/>
        <v>Open</v>
      </c>
    </row>
    <row r="20" spans="1:45" x14ac:dyDescent="0.35">
      <c r="A20" s="332" t="str">
        <f t="shared" si="4"/>
        <v>R-06</v>
      </c>
      <c r="B20" s="310"/>
      <c r="C20" s="310"/>
      <c r="D20" s="310"/>
      <c r="E20" s="310"/>
      <c r="F20" s="310"/>
      <c r="G20" s="310"/>
      <c r="H20" s="310"/>
      <c r="I20" s="310"/>
      <c r="J20" s="310"/>
      <c r="K20" s="310"/>
      <c r="L20" s="310"/>
      <c r="M20" s="310"/>
      <c r="N20" s="157" t="str">
        <f t="shared" si="5"/>
        <v>Open</v>
      </c>
      <c r="O20" s="158">
        <f t="shared" si="6"/>
        <v>1</v>
      </c>
      <c r="P20" s="158" t="str">
        <f t="shared" si="7"/>
        <v>Open</v>
      </c>
      <c r="Q20" s="158" t="str">
        <f t="shared" si="8"/>
        <v>Open</v>
      </c>
      <c r="R20" s="158" t="str">
        <f t="shared" si="9"/>
        <v>Open</v>
      </c>
      <c r="S20" s="158" t="str">
        <f t="shared" si="10"/>
        <v>Open</v>
      </c>
      <c r="T20" s="158" t="str">
        <f t="shared" si="11"/>
        <v>Open</v>
      </c>
      <c r="U20" s="159" t="str">
        <f t="shared" si="12"/>
        <v>Open</v>
      </c>
      <c r="V20" s="157" t="str">
        <f t="shared" si="13"/>
        <v>Open</v>
      </c>
      <c r="W20" s="158">
        <f t="shared" si="14"/>
        <v>1</v>
      </c>
      <c r="X20" s="158" t="str">
        <f t="shared" si="15"/>
        <v>Open</v>
      </c>
      <c r="Y20" s="158" t="str">
        <f t="shared" si="16"/>
        <v>Open</v>
      </c>
      <c r="Z20" s="158" t="str">
        <f t="shared" si="17"/>
        <v>Open</v>
      </c>
      <c r="AA20" s="158" t="str">
        <f t="shared" si="18"/>
        <v>Open</v>
      </c>
      <c r="AB20" s="158" t="str">
        <f t="shared" si="19"/>
        <v>Open</v>
      </c>
      <c r="AC20" s="159" t="str">
        <f t="shared" si="20"/>
        <v>Open</v>
      </c>
      <c r="AD20" s="157" t="str">
        <f t="shared" si="21"/>
        <v>Short</v>
      </c>
      <c r="AE20" s="158" t="str">
        <f t="shared" si="22"/>
        <v>Open</v>
      </c>
      <c r="AF20" s="158" t="str">
        <f t="shared" si="23"/>
        <v>Open</v>
      </c>
      <c r="AG20" s="158" t="str">
        <f t="shared" si="24"/>
        <v>Open</v>
      </c>
      <c r="AH20" s="158" t="str">
        <f t="shared" si="25"/>
        <v>Open</v>
      </c>
      <c r="AI20" s="158" t="str">
        <f t="shared" si="26"/>
        <v>Open</v>
      </c>
      <c r="AJ20" s="158" t="str">
        <f t="shared" si="27"/>
        <v>Open</v>
      </c>
      <c r="AK20" s="159" t="str">
        <f t="shared" si="28"/>
        <v>Open</v>
      </c>
      <c r="AL20" s="157" t="str">
        <f t="shared" si="29"/>
        <v>Open</v>
      </c>
      <c r="AM20" s="158" t="str">
        <f t="shared" si="30"/>
        <v>Open</v>
      </c>
      <c r="AN20" s="158" t="str">
        <f t="shared" si="31"/>
        <v>Open</v>
      </c>
      <c r="AO20" s="158" t="str">
        <f t="shared" si="32"/>
        <v>Open</v>
      </c>
      <c r="AP20" s="158" t="str">
        <f t="shared" si="33"/>
        <v>Open</v>
      </c>
      <c r="AQ20" s="158" t="str">
        <f t="shared" si="34"/>
        <v>Open</v>
      </c>
      <c r="AR20" s="158" t="str">
        <f t="shared" si="35"/>
        <v>Open</v>
      </c>
      <c r="AS20" s="159" t="str">
        <f t="shared" si="36"/>
        <v>Open</v>
      </c>
    </row>
    <row r="21" spans="1:45" x14ac:dyDescent="0.35">
      <c r="A21" s="332" t="str">
        <f t="shared" si="4"/>
        <v>R-07</v>
      </c>
      <c r="B21" s="310"/>
      <c r="C21" s="310"/>
      <c r="D21" s="310"/>
      <c r="E21" s="310"/>
      <c r="F21" s="310"/>
      <c r="G21" s="310"/>
      <c r="H21" s="310"/>
      <c r="I21" s="310"/>
      <c r="J21" s="310"/>
      <c r="K21" s="310"/>
      <c r="L21" s="310"/>
      <c r="M21" s="310"/>
      <c r="N21" s="157" t="str">
        <f t="shared" si="5"/>
        <v>Open</v>
      </c>
      <c r="O21" s="158">
        <f t="shared" si="6"/>
        <v>1</v>
      </c>
      <c r="P21" s="158" t="str">
        <f t="shared" si="7"/>
        <v>Open</v>
      </c>
      <c r="Q21" s="158" t="str">
        <f t="shared" si="8"/>
        <v>Open</v>
      </c>
      <c r="R21" s="158" t="str">
        <f t="shared" si="9"/>
        <v>Open</v>
      </c>
      <c r="S21" s="158" t="str">
        <f t="shared" si="10"/>
        <v>Open</v>
      </c>
      <c r="T21" s="158" t="str">
        <f t="shared" si="11"/>
        <v>Open</v>
      </c>
      <c r="U21" s="159" t="str">
        <f t="shared" si="12"/>
        <v>Open</v>
      </c>
      <c r="V21" s="157" t="str">
        <f t="shared" si="13"/>
        <v>Open</v>
      </c>
      <c r="W21" s="158">
        <f t="shared" si="14"/>
        <v>1</v>
      </c>
      <c r="X21" s="158" t="str">
        <f t="shared" si="15"/>
        <v>Open</v>
      </c>
      <c r="Y21" s="158" t="str">
        <f t="shared" si="16"/>
        <v>Open</v>
      </c>
      <c r="Z21" s="158" t="str">
        <f t="shared" si="17"/>
        <v>Open</v>
      </c>
      <c r="AA21" s="158" t="str">
        <f t="shared" si="18"/>
        <v>Open</v>
      </c>
      <c r="AB21" s="158" t="str">
        <f t="shared" si="19"/>
        <v>Open</v>
      </c>
      <c r="AC21" s="159" t="str">
        <f t="shared" si="20"/>
        <v>Open</v>
      </c>
      <c r="AD21" s="157" t="str">
        <f t="shared" si="21"/>
        <v>Short</v>
      </c>
      <c r="AE21" s="158" t="str">
        <f t="shared" si="22"/>
        <v>Open</v>
      </c>
      <c r="AF21" s="158" t="str">
        <f t="shared" si="23"/>
        <v>Open</v>
      </c>
      <c r="AG21" s="158" t="str">
        <f t="shared" si="24"/>
        <v>Open</v>
      </c>
      <c r="AH21" s="158" t="str">
        <f t="shared" si="25"/>
        <v>Open</v>
      </c>
      <c r="AI21" s="158" t="str">
        <f t="shared" si="26"/>
        <v>Open</v>
      </c>
      <c r="AJ21" s="158" t="str">
        <f t="shared" si="27"/>
        <v>Open</v>
      </c>
      <c r="AK21" s="159" t="str">
        <f t="shared" si="28"/>
        <v>Open</v>
      </c>
      <c r="AL21" s="157" t="str">
        <f t="shared" si="29"/>
        <v>Open</v>
      </c>
      <c r="AM21" s="158" t="str">
        <f t="shared" si="30"/>
        <v>Open</v>
      </c>
      <c r="AN21" s="158" t="str">
        <f t="shared" si="31"/>
        <v>Open</v>
      </c>
      <c r="AO21" s="158" t="str">
        <f t="shared" si="32"/>
        <v>Open</v>
      </c>
      <c r="AP21" s="158" t="str">
        <f t="shared" si="33"/>
        <v>Open</v>
      </c>
      <c r="AQ21" s="158" t="str">
        <f t="shared" si="34"/>
        <v>Open</v>
      </c>
      <c r="AR21" s="158" t="str">
        <f t="shared" si="35"/>
        <v>Open</v>
      </c>
      <c r="AS21" s="159" t="str">
        <f t="shared" si="36"/>
        <v>Open</v>
      </c>
    </row>
    <row r="22" spans="1:45" ht="15" customHeight="1" thickBot="1" x14ac:dyDescent="0.4">
      <c r="A22" s="332" t="str">
        <f t="shared" si="4"/>
        <v>R-08</v>
      </c>
      <c r="B22" s="310"/>
      <c r="C22" s="310"/>
      <c r="D22" s="310"/>
      <c r="E22" s="310"/>
      <c r="F22" s="310"/>
      <c r="G22" s="310"/>
      <c r="H22" s="310"/>
      <c r="I22" s="310"/>
      <c r="J22" s="310"/>
      <c r="K22" s="310"/>
      <c r="L22" s="310"/>
      <c r="M22" s="310"/>
      <c r="N22" s="171" t="str">
        <f t="shared" si="5"/>
        <v>Open</v>
      </c>
      <c r="O22" s="172">
        <f t="shared" si="6"/>
        <v>1</v>
      </c>
      <c r="P22" s="172" t="str">
        <f t="shared" si="7"/>
        <v>Open</v>
      </c>
      <c r="Q22" s="172" t="str">
        <f t="shared" si="8"/>
        <v>Open</v>
      </c>
      <c r="R22" s="172" t="str">
        <f t="shared" si="9"/>
        <v>Open</v>
      </c>
      <c r="S22" s="172" t="str">
        <f t="shared" si="10"/>
        <v>Open</v>
      </c>
      <c r="T22" s="172" t="str">
        <f t="shared" si="11"/>
        <v>Open</v>
      </c>
      <c r="U22" s="173" t="str">
        <f t="shared" si="12"/>
        <v>Open</v>
      </c>
      <c r="V22" s="171" t="str">
        <f t="shared" si="13"/>
        <v>Open</v>
      </c>
      <c r="W22" s="172">
        <f t="shared" si="14"/>
        <v>1</v>
      </c>
      <c r="X22" s="172" t="str">
        <f t="shared" si="15"/>
        <v>Open</v>
      </c>
      <c r="Y22" s="172" t="str">
        <f t="shared" si="16"/>
        <v>Open</v>
      </c>
      <c r="Z22" s="172" t="str">
        <f t="shared" si="17"/>
        <v>Open</v>
      </c>
      <c r="AA22" s="172" t="str">
        <f t="shared" si="18"/>
        <v>Open</v>
      </c>
      <c r="AB22" s="172" t="str">
        <f t="shared" si="19"/>
        <v>Open</v>
      </c>
      <c r="AC22" s="173" t="str">
        <f t="shared" si="20"/>
        <v>Open</v>
      </c>
      <c r="AD22" s="171" t="str">
        <f t="shared" si="21"/>
        <v>Short</v>
      </c>
      <c r="AE22" s="172" t="str">
        <f t="shared" si="22"/>
        <v>Open</v>
      </c>
      <c r="AF22" s="172" t="str">
        <f t="shared" si="23"/>
        <v>Open</v>
      </c>
      <c r="AG22" s="172" t="str">
        <f t="shared" si="24"/>
        <v>Open</v>
      </c>
      <c r="AH22" s="172" t="str">
        <f t="shared" si="25"/>
        <v>Open</v>
      </c>
      <c r="AI22" s="172" t="str">
        <f t="shared" si="26"/>
        <v>Open</v>
      </c>
      <c r="AJ22" s="172" t="str">
        <f t="shared" si="27"/>
        <v>Open</v>
      </c>
      <c r="AK22" s="173" t="str">
        <f t="shared" si="28"/>
        <v>Open</v>
      </c>
      <c r="AL22" s="171" t="str">
        <f t="shared" si="29"/>
        <v>Open</v>
      </c>
      <c r="AM22" s="172" t="str">
        <f t="shared" si="30"/>
        <v>Open</v>
      </c>
      <c r="AN22" s="172" t="str">
        <f t="shared" si="31"/>
        <v>Open</v>
      </c>
      <c r="AO22" s="172" t="str">
        <f t="shared" si="32"/>
        <v>Open</v>
      </c>
      <c r="AP22" s="172" t="str">
        <f t="shared" si="33"/>
        <v>Open</v>
      </c>
      <c r="AQ22" s="172" t="str">
        <f t="shared" si="34"/>
        <v>Open</v>
      </c>
      <c r="AR22" s="172" t="str">
        <f t="shared" si="35"/>
        <v>Open</v>
      </c>
      <c r="AS22" s="173" t="str">
        <f t="shared" si="36"/>
        <v>Open</v>
      </c>
    </row>
  </sheetData>
  <mergeCells count="24">
    <mergeCell ref="F1:F3"/>
    <mergeCell ref="A22:M22"/>
    <mergeCell ref="AD1:AK1"/>
    <mergeCell ref="A17:M17"/>
    <mergeCell ref="A18:M18"/>
    <mergeCell ref="A19:M19"/>
    <mergeCell ref="A20:M20"/>
    <mergeCell ref="A21:M21"/>
    <mergeCell ref="AL1:AS1"/>
    <mergeCell ref="N13:AS13"/>
    <mergeCell ref="A14:M14"/>
    <mergeCell ref="A15:M15"/>
    <mergeCell ref="A16:M16"/>
    <mergeCell ref="G1:G3"/>
    <mergeCell ref="H1:H3"/>
    <mergeCell ref="I1:K2"/>
    <mergeCell ref="L1:M2"/>
    <mergeCell ref="N1:U1"/>
    <mergeCell ref="V1:AC1"/>
    <mergeCell ref="A1:A3"/>
    <mergeCell ref="B1:B3"/>
    <mergeCell ref="C1:C3"/>
    <mergeCell ref="D1:D3"/>
    <mergeCell ref="E1:E3"/>
  </mergeCells>
  <dataValidations count="5">
    <dataValidation type="list" allowBlank="1" showInputMessage="1" showErrorMessage="1" sqref="M4:M11" xr:uid="{00000000-0002-0000-0900-000000000000}">
      <formula1>"DIO_07:00,DIO_15:08,DIO_23:16,DIO_31:24"</formula1>
    </dataValidation>
    <dataValidation type="list" allowBlank="1" showInputMessage="1" showErrorMessage="1" sqref="L4:L11" xr:uid="{00000000-0002-0000-0900-000001000000}">
      <formula1>"NI-9403_01,NI-9403_02"</formula1>
    </dataValidation>
    <dataValidation type="list" allowBlank="1" showInputMessage="1" showErrorMessage="1" sqref="K4:K11" xr:uid="{00000000-0002-0000-0900-000002000000}">
      <formula1>"AI_00,AI_01,AI_02,AI_03"</formula1>
    </dataValidation>
    <dataValidation type="list" allowBlank="1" showInputMessage="1" showErrorMessage="1" sqref="J4:J11" xr:uid="{00000000-0002-0000-0900-000003000000}">
      <formula1>"NI-9229_01,NI-9229_02,NI-9229_03"</formula1>
    </dataValidation>
    <dataValidation type="list" allowBlank="1" showInputMessage="1" showErrorMessage="1" sqref="N4:AS11" xr:uid="{00000000-0002-0000-0900-000004000000}">
      <formula1>"Yes,'---"</formula1>
    </dataValidation>
  </dataValidations>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R56"/>
  <sheetViews>
    <sheetView topLeftCell="B1" zoomScale="130" zoomScaleNormal="130" workbookViewId="0">
      <selection activeCell="B17" sqref="B17"/>
    </sheetView>
  </sheetViews>
  <sheetFormatPr defaultColWidth="8.7265625" defaultRowHeight="13" x14ac:dyDescent="0.3"/>
  <cols>
    <col min="1" max="1" width="16.453125" style="119" bestFit="1" customWidth="1"/>
    <col min="2" max="2" width="25.81640625" style="119" bestFit="1" customWidth="1"/>
    <col min="3" max="3" width="15.81640625" style="119" bestFit="1" customWidth="1"/>
    <col min="4" max="4" width="11.26953125" style="119" bestFit="1" customWidth="1"/>
    <col min="5" max="5" width="16.26953125" style="119" bestFit="1" customWidth="1"/>
    <col min="6" max="6" width="16.453125" style="119" bestFit="1" customWidth="1"/>
    <col min="7" max="7" width="14.26953125" style="119" bestFit="1" customWidth="1"/>
    <col min="8" max="8" width="15.453125" style="119" bestFit="1" customWidth="1"/>
    <col min="9" max="10" width="11.54296875" style="119" bestFit="1" customWidth="1"/>
    <col min="11" max="11" width="13.453125" style="119" bestFit="1" customWidth="1"/>
    <col min="12" max="12" width="9.26953125" style="119" bestFit="1" customWidth="1"/>
    <col min="13" max="13" width="17.54296875" style="119" bestFit="1" customWidth="1"/>
    <col min="14" max="14" width="18" style="119" bestFit="1" customWidth="1"/>
    <col min="15" max="15" width="12.453125" style="119" bestFit="1" customWidth="1"/>
    <col min="16" max="16" width="22.1796875" style="119" bestFit="1" customWidth="1"/>
    <col min="17" max="17" width="15" style="119" bestFit="1" customWidth="1"/>
    <col min="18" max="18" width="17.54296875" style="119" customWidth="1"/>
    <col min="19" max="25" width="8.7265625" style="119" customWidth="1"/>
    <col min="26" max="16384" width="8.7265625" style="119"/>
  </cols>
  <sheetData>
    <row r="1" spans="1:18" ht="14.65" customHeight="1" x14ac:dyDescent="0.35">
      <c r="A1" s="305" t="s">
        <v>7</v>
      </c>
      <c r="B1" s="306"/>
      <c r="C1" s="306"/>
      <c r="D1" s="306"/>
      <c r="E1" s="306"/>
      <c r="F1" s="306"/>
      <c r="G1" s="306"/>
      <c r="H1" s="306"/>
      <c r="I1" s="306"/>
      <c r="J1" s="306"/>
      <c r="K1" s="306"/>
      <c r="L1" s="306"/>
      <c r="M1" s="306"/>
      <c r="N1" s="306"/>
      <c r="O1" s="306"/>
      <c r="P1" s="306"/>
      <c r="Q1" s="307"/>
      <c r="R1" s="20"/>
    </row>
    <row r="2" spans="1:18" x14ac:dyDescent="0.3">
      <c r="A2" s="36" t="s">
        <v>10</v>
      </c>
      <c r="B2" s="36" t="s">
        <v>11</v>
      </c>
      <c r="C2" s="36" t="s">
        <v>12</v>
      </c>
      <c r="D2" s="36" t="s">
        <v>13</v>
      </c>
      <c r="E2" s="36" t="s">
        <v>14</v>
      </c>
      <c r="F2" s="36" t="s">
        <v>15</v>
      </c>
      <c r="G2" s="36" t="s">
        <v>16</v>
      </c>
      <c r="H2" s="36" t="s">
        <v>17</v>
      </c>
      <c r="I2" s="36" t="s">
        <v>18</v>
      </c>
      <c r="J2" s="36" t="s">
        <v>19</v>
      </c>
      <c r="K2" s="36" t="s">
        <v>20</v>
      </c>
      <c r="L2" s="36" t="s">
        <v>729</v>
      </c>
      <c r="M2" s="40" t="s">
        <v>730</v>
      </c>
      <c r="N2" s="37" t="s">
        <v>731</v>
      </c>
      <c r="O2" s="37" t="s">
        <v>732</v>
      </c>
      <c r="P2" s="37" t="s">
        <v>733</v>
      </c>
      <c r="Q2" s="37" t="s">
        <v>734</v>
      </c>
      <c r="R2" s="38"/>
    </row>
    <row r="3" spans="1:18" x14ac:dyDescent="0.3">
      <c r="A3" s="240" t="s">
        <v>735</v>
      </c>
      <c r="B3" s="240" t="s">
        <v>27</v>
      </c>
      <c r="C3" s="240">
        <v>0</v>
      </c>
      <c r="D3" s="240" t="s">
        <v>736</v>
      </c>
      <c r="E3" s="240" t="s">
        <v>736</v>
      </c>
      <c r="F3" s="240" t="s">
        <v>737</v>
      </c>
      <c r="G3" s="188" t="s">
        <v>29</v>
      </c>
      <c r="H3" s="240" t="s">
        <v>735</v>
      </c>
      <c r="I3" s="240"/>
      <c r="J3" s="240"/>
      <c r="K3" s="10">
        <v>36892</v>
      </c>
      <c r="L3" s="10" t="s">
        <v>738</v>
      </c>
      <c r="M3" s="39">
        <v>25</v>
      </c>
      <c r="N3" s="19">
        <v>1000000000</v>
      </c>
      <c r="O3" s="19" t="s">
        <v>739</v>
      </c>
      <c r="P3" s="42">
        <v>8</v>
      </c>
      <c r="Q3" s="42">
        <v>31250</v>
      </c>
      <c r="R3" s="41"/>
    </row>
    <row r="4" spans="1:18" x14ac:dyDescent="0.3">
      <c r="A4" s="12"/>
      <c r="B4" s="12"/>
      <c r="C4" s="12"/>
      <c r="D4" s="12"/>
      <c r="E4" s="12"/>
      <c r="F4" s="12"/>
      <c r="G4" s="12"/>
      <c r="H4" s="12"/>
      <c r="I4" s="12"/>
      <c r="J4" s="12"/>
      <c r="K4" s="12"/>
      <c r="L4" s="12"/>
      <c r="M4" s="12"/>
      <c r="N4" s="12"/>
      <c r="O4" s="12"/>
      <c r="P4" s="12"/>
      <c r="Q4" s="12"/>
      <c r="R4" s="20"/>
    </row>
    <row r="5" spans="1:18" ht="14.65" customHeight="1" x14ac:dyDescent="0.35">
      <c r="A5" s="314" t="s">
        <v>36</v>
      </c>
      <c r="B5" s="310"/>
      <c r="C5" s="310"/>
      <c r="D5" s="310"/>
      <c r="E5" s="311"/>
      <c r="F5" s="314" t="s">
        <v>740</v>
      </c>
      <c r="G5" s="310"/>
      <c r="H5" s="311"/>
      <c r="I5" s="12"/>
      <c r="J5" s="12"/>
      <c r="K5" s="12"/>
      <c r="L5" s="12"/>
      <c r="M5" s="12"/>
      <c r="N5" s="12"/>
      <c r="O5" s="12"/>
      <c r="P5" s="12"/>
      <c r="Q5" s="12"/>
      <c r="R5" s="20"/>
    </row>
    <row r="6" spans="1:18" x14ac:dyDescent="0.3">
      <c r="A6" s="1" t="s">
        <v>13</v>
      </c>
      <c r="B6" s="1" t="s">
        <v>14</v>
      </c>
      <c r="C6" s="1" t="s">
        <v>15</v>
      </c>
      <c r="D6" s="1" t="s">
        <v>16</v>
      </c>
      <c r="E6" s="1" t="s">
        <v>741</v>
      </c>
      <c r="F6" s="47" t="s">
        <v>666</v>
      </c>
      <c r="G6" s="47" t="s">
        <v>667</v>
      </c>
      <c r="H6" s="47" t="s">
        <v>742</v>
      </c>
      <c r="I6" s="12"/>
      <c r="J6" s="12"/>
      <c r="K6" s="12"/>
      <c r="L6" s="12"/>
      <c r="M6" s="12"/>
      <c r="N6" s="12"/>
      <c r="O6" s="12"/>
      <c r="P6" s="12"/>
      <c r="Q6" s="12"/>
      <c r="R6" s="20"/>
    </row>
    <row r="7" spans="1:18" ht="14.65" customHeight="1" x14ac:dyDescent="0.35">
      <c r="A7" s="149" t="s">
        <v>743</v>
      </c>
      <c r="B7" s="216" t="s">
        <v>744</v>
      </c>
      <c r="C7" s="130" t="s">
        <v>745</v>
      </c>
      <c r="D7" s="2" t="s">
        <v>29</v>
      </c>
      <c r="E7" s="240" t="s">
        <v>746</v>
      </c>
      <c r="F7" s="2">
        <v>0</v>
      </c>
      <c r="G7" s="2">
        <v>0</v>
      </c>
      <c r="H7" s="2">
        <v>0</v>
      </c>
      <c r="I7" s="12"/>
      <c r="J7" s="12"/>
      <c r="K7" s="12"/>
      <c r="L7" s="12"/>
      <c r="M7" s="12"/>
      <c r="N7" s="12"/>
      <c r="O7" s="12"/>
      <c r="P7" s="12"/>
      <c r="Q7" s="12"/>
      <c r="R7" s="20"/>
    </row>
    <row r="8" spans="1:18" ht="14.65" customHeight="1" x14ac:dyDescent="0.35">
      <c r="A8" s="149" t="s">
        <v>747</v>
      </c>
      <c r="B8" s="216" t="s">
        <v>748</v>
      </c>
      <c r="C8" s="130" t="s">
        <v>745</v>
      </c>
      <c r="D8" s="2" t="s">
        <v>29</v>
      </c>
      <c r="E8" s="240" t="s">
        <v>746</v>
      </c>
      <c r="F8" s="2">
        <v>0</v>
      </c>
      <c r="G8" s="2">
        <v>0</v>
      </c>
      <c r="H8" s="2">
        <v>0</v>
      </c>
      <c r="I8" s="12"/>
      <c r="J8" s="12"/>
      <c r="K8" s="12"/>
      <c r="L8" s="12"/>
      <c r="M8" s="12"/>
      <c r="N8" s="12"/>
      <c r="O8" s="12"/>
      <c r="P8" s="12"/>
      <c r="Q8" s="12"/>
      <c r="R8" s="20"/>
    </row>
    <row r="9" spans="1:18" ht="14.65" customHeight="1" x14ac:dyDescent="0.35">
      <c r="A9" s="149" t="s">
        <v>749</v>
      </c>
      <c r="B9" s="215" t="s">
        <v>750</v>
      </c>
      <c r="C9" s="130" t="s">
        <v>751</v>
      </c>
      <c r="D9" s="2" t="s">
        <v>29</v>
      </c>
      <c r="E9" s="240" t="s">
        <v>746</v>
      </c>
      <c r="F9" s="2">
        <v>0</v>
      </c>
      <c r="G9" s="2">
        <v>0</v>
      </c>
      <c r="H9" s="2">
        <v>0</v>
      </c>
      <c r="I9" s="12"/>
      <c r="J9" s="12"/>
      <c r="K9" s="12"/>
      <c r="L9" s="12"/>
      <c r="M9" s="12"/>
      <c r="N9" s="12"/>
      <c r="O9" s="12"/>
      <c r="P9" s="12"/>
      <c r="Q9" s="12"/>
      <c r="R9" s="20"/>
    </row>
    <row r="10" spans="1:18" ht="14.65" customHeight="1" x14ac:dyDescent="0.35">
      <c r="A10" s="149" t="s">
        <v>752</v>
      </c>
      <c r="B10" s="215" t="s">
        <v>753</v>
      </c>
      <c r="C10" s="130" t="s">
        <v>754</v>
      </c>
      <c r="D10" s="2" t="s">
        <v>29</v>
      </c>
      <c r="E10" s="240" t="s">
        <v>746</v>
      </c>
      <c r="F10" s="2">
        <v>0</v>
      </c>
      <c r="G10" s="2">
        <v>0</v>
      </c>
      <c r="H10" s="2">
        <v>0</v>
      </c>
      <c r="I10" s="12"/>
      <c r="J10" s="12"/>
      <c r="K10" s="12"/>
      <c r="L10" s="12"/>
      <c r="M10" s="12"/>
      <c r="N10" s="12"/>
      <c r="O10" s="12"/>
      <c r="P10" s="12"/>
      <c r="Q10" s="12"/>
      <c r="R10" s="20"/>
    </row>
    <row r="11" spans="1:18" ht="14.65" customHeight="1" x14ac:dyDescent="0.35">
      <c r="A11" s="149" t="s">
        <v>755</v>
      </c>
      <c r="B11" s="215" t="s">
        <v>756</v>
      </c>
      <c r="C11" s="130" t="s">
        <v>757</v>
      </c>
      <c r="D11" s="2" t="s">
        <v>29</v>
      </c>
      <c r="E11" s="240" t="s">
        <v>746</v>
      </c>
      <c r="F11" s="2">
        <v>0</v>
      </c>
      <c r="G11" s="2">
        <v>0</v>
      </c>
      <c r="H11" s="2">
        <v>0</v>
      </c>
      <c r="I11" s="12"/>
      <c r="J11" s="12"/>
      <c r="K11" s="12"/>
      <c r="L11" s="12"/>
      <c r="M11" s="12"/>
      <c r="N11" s="12"/>
      <c r="O11" s="12"/>
      <c r="P11" s="12"/>
      <c r="Q11" s="12"/>
      <c r="R11" s="20"/>
    </row>
    <row r="12" spans="1:18" ht="14.65" customHeight="1" x14ac:dyDescent="0.35">
      <c r="A12" s="149" t="s">
        <v>758</v>
      </c>
      <c r="B12" s="215" t="s">
        <v>759</v>
      </c>
      <c r="C12" s="130" t="s">
        <v>760</v>
      </c>
      <c r="D12" s="2" t="s">
        <v>29</v>
      </c>
      <c r="E12" s="240" t="s">
        <v>746</v>
      </c>
      <c r="F12" s="2">
        <v>0</v>
      </c>
      <c r="G12" s="2">
        <v>0</v>
      </c>
      <c r="H12" s="2">
        <v>0</v>
      </c>
      <c r="I12" s="12"/>
      <c r="J12" s="12"/>
      <c r="K12" s="12"/>
      <c r="L12" s="12"/>
      <c r="M12" s="12"/>
      <c r="N12" s="12"/>
      <c r="O12" s="12"/>
      <c r="P12" s="12"/>
      <c r="Q12" s="12"/>
      <c r="R12" s="20"/>
    </row>
    <row r="13" spans="1:18" ht="14.65" customHeight="1" x14ac:dyDescent="0.35">
      <c r="A13" s="149" t="s">
        <v>761</v>
      </c>
      <c r="B13" s="215" t="s">
        <v>762</v>
      </c>
      <c r="C13" s="130" t="s">
        <v>763</v>
      </c>
      <c r="D13" s="2" t="s">
        <v>29</v>
      </c>
      <c r="E13" s="240" t="s">
        <v>746</v>
      </c>
      <c r="F13" s="2">
        <v>0</v>
      </c>
      <c r="G13" s="2">
        <v>0</v>
      </c>
      <c r="H13" s="2">
        <v>0</v>
      </c>
      <c r="I13" s="12"/>
      <c r="J13" s="12"/>
      <c r="K13" s="12"/>
      <c r="L13" s="12"/>
      <c r="M13" s="12"/>
      <c r="N13" s="12"/>
      <c r="O13" s="12"/>
      <c r="P13" s="12"/>
      <c r="Q13" s="12"/>
      <c r="R13" s="20"/>
    </row>
    <row r="14" spans="1:18" ht="14.65" customHeight="1" x14ac:dyDescent="0.35">
      <c r="A14" s="149" t="s">
        <v>764</v>
      </c>
      <c r="B14" s="215" t="s">
        <v>765</v>
      </c>
      <c r="C14" s="130" t="s">
        <v>766</v>
      </c>
      <c r="D14" s="2" t="s">
        <v>29</v>
      </c>
      <c r="E14" s="240" t="s">
        <v>746</v>
      </c>
      <c r="F14" s="2">
        <v>0</v>
      </c>
      <c r="G14" s="2">
        <v>0</v>
      </c>
      <c r="H14" s="2">
        <v>0</v>
      </c>
      <c r="I14" s="12"/>
      <c r="J14" s="12"/>
      <c r="K14" s="12"/>
      <c r="L14" s="12"/>
      <c r="M14" s="12"/>
      <c r="N14" s="12"/>
      <c r="O14" s="12"/>
      <c r="P14" s="12"/>
      <c r="Q14" s="12"/>
      <c r="R14" s="20"/>
    </row>
    <row r="15" spans="1:18" ht="14.65" customHeight="1" x14ac:dyDescent="0.35">
      <c r="A15" s="149" t="s">
        <v>767</v>
      </c>
      <c r="B15" s="215" t="s">
        <v>768</v>
      </c>
      <c r="C15" s="130" t="s">
        <v>769</v>
      </c>
      <c r="D15" s="2" t="s">
        <v>29</v>
      </c>
      <c r="E15" s="240" t="s">
        <v>746</v>
      </c>
      <c r="F15" s="2">
        <v>0</v>
      </c>
      <c r="G15" s="2">
        <v>0</v>
      </c>
      <c r="H15" s="2">
        <v>0</v>
      </c>
      <c r="I15" s="12"/>
      <c r="J15" s="12"/>
      <c r="K15" s="12"/>
      <c r="L15" s="12"/>
      <c r="M15" s="12"/>
      <c r="N15" s="12"/>
      <c r="O15" s="12"/>
      <c r="P15" s="12"/>
      <c r="Q15" s="12"/>
      <c r="R15" s="20"/>
    </row>
    <row r="16" spans="1:18" ht="14.65" customHeight="1" x14ac:dyDescent="0.35">
      <c r="A16" s="149" t="s">
        <v>770</v>
      </c>
      <c r="B16" s="215" t="s">
        <v>771</v>
      </c>
      <c r="C16" s="130" t="s">
        <v>772</v>
      </c>
      <c r="D16" s="2" t="s">
        <v>29</v>
      </c>
      <c r="E16" s="240" t="s">
        <v>746</v>
      </c>
      <c r="F16" s="2">
        <v>0</v>
      </c>
      <c r="G16" s="2">
        <v>0</v>
      </c>
      <c r="H16" s="2">
        <v>0</v>
      </c>
      <c r="I16" s="12"/>
      <c r="J16" s="12"/>
      <c r="K16" s="12"/>
      <c r="L16" s="12"/>
      <c r="M16" s="12"/>
      <c r="N16" s="12"/>
      <c r="O16" s="12"/>
      <c r="P16" s="12"/>
      <c r="Q16" s="12"/>
      <c r="R16" s="20"/>
    </row>
    <row r="17" spans="1:18" ht="14.65" customHeight="1" x14ac:dyDescent="0.35">
      <c r="A17" s="149" t="s">
        <v>773</v>
      </c>
      <c r="B17" s="215" t="s">
        <v>774</v>
      </c>
      <c r="C17" s="130" t="s">
        <v>775</v>
      </c>
      <c r="D17" s="2" t="s">
        <v>29</v>
      </c>
      <c r="E17" s="240" t="s">
        <v>746</v>
      </c>
      <c r="F17" s="2">
        <v>0</v>
      </c>
      <c r="G17" s="2">
        <v>0</v>
      </c>
      <c r="H17" s="2">
        <v>0</v>
      </c>
      <c r="I17" s="12"/>
      <c r="J17" s="12"/>
      <c r="K17" s="12"/>
      <c r="L17" s="12"/>
      <c r="M17" s="12"/>
      <c r="N17" s="12"/>
      <c r="O17" s="12"/>
      <c r="P17" s="12"/>
      <c r="Q17" s="12"/>
      <c r="R17" s="20"/>
    </row>
    <row r="18" spans="1:18" ht="14.65" customHeight="1" x14ac:dyDescent="0.35">
      <c r="A18" s="149" t="s">
        <v>776</v>
      </c>
      <c r="B18" s="215" t="s">
        <v>777</v>
      </c>
      <c r="C18" s="130" t="s">
        <v>775</v>
      </c>
      <c r="D18" s="2" t="s">
        <v>29</v>
      </c>
      <c r="E18" s="240" t="s">
        <v>746</v>
      </c>
      <c r="F18" s="2">
        <v>0</v>
      </c>
      <c r="G18" s="2">
        <v>0</v>
      </c>
      <c r="H18" s="2">
        <v>0</v>
      </c>
      <c r="I18" s="12"/>
      <c r="J18" s="12"/>
      <c r="K18" s="12"/>
      <c r="L18" s="12"/>
      <c r="M18" s="12"/>
      <c r="N18" s="12"/>
      <c r="O18" s="12"/>
      <c r="P18" s="12"/>
      <c r="Q18" s="12"/>
      <c r="R18" s="20"/>
    </row>
    <row r="19" spans="1:18" ht="14.65" customHeight="1" x14ac:dyDescent="0.35">
      <c r="A19" s="149" t="s">
        <v>778</v>
      </c>
      <c r="B19" s="215" t="s">
        <v>779</v>
      </c>
      <c r="C19" s="130" t="s">
        <v>775</v>
      </c>
      <c r="D19" s="2" t="s">
        <v>29</v>
      </c>
      <c r="E19" s="240" t="s">
        <v>746</v>
      </c>
      <c r="F19" s="2">
        <v>0</v>
      </c>
      <c r="G19" s="2">
        <v>0</v>
      </c>
      <c r="H19" s="2">
        <v>0</v>
      </c>
      <c r="I19" s="12"/>
      <c r="J19" s="12"/>
      <c r="K19" s="12"/>
      <c r="L19" s="12"/>
      <c r="M19" s="12"/>
      <c r="N19" s="12"/>
      <c r="O19" s="12"/>
      <c r="P19" s="12"/>
      <c r="Q19" s="12"/>
      <c r="R19" s="20"/>
    </row>
    <row r="20" spans="1:18" ht="14.65" customHeight="1" x14ac:dyDescent="0.35">
      <c r="A20" s="149" t="s">
        <v>780</v>
      </c>
      <c r="B20" s="215" t="s">
        <v>781</v>
      </c>
      <c r="C20" s="130" t="s">
        <v>775</v>
      </c>
      <c r="D20" s="2" t="s">
        <v>29</v>
      </c>
      <c r="E20" s="240" t="s">
        <v>746</v>
      </c>
      <c r="F20" s="2">
        <v>0</v>
      </c>
      <c r="G20" s="2">
        <v>0</v>
      </c>
      <c r="H20" s="2">
        <v>0</v>
      </c>
      <c r="I20" s="12"/>
      <c r="J20" s="12"/>
      <c r="K20" s="12"/>
      <c r="L20" s="12"/>
      <c r="M20" s="12"/>
      <c r="N20" s="12"/>
      <c r="O20" s="12"/>
      <c r="P20" s="12"/>
      <c r="Q20" s="12"/>
      <c r="R20" s="20"/>
    </row>
    <row r="21" spans="1:18" ht="14.65" customHeight="1" x14ac:dyDescent="0.35">
      <c r="A21" s="149" t="s">
        <v>782</v>
      </c>
      <c r="B21" s="215" t="s">
        <v>783</v>
      </c>
      <c r="C21" s="130" t="s">
        <v>784</v>
      </c>
      <c r="D21" s="2" t="s">
        <v>29</v>
      </c>
      <c r="E21" s="240" t="s">
        <v>746</v>
      </c>
      <c r="F21" s="2">
        <v>0</v>
      </c>
      <c r="G21" s="2">
        <v>0</v>
      </c>
      <c r="H21" s="2">
        <v>0</v>
      </c>
      <c r="I21" s="12"/>
      <c r="J21" s="12"/>
      <c r="K21" s="12"/>
      <c r="L21" s="12"/>
      <c r="M21" s="12"/>
      <c r="N21" s="12"/>
      <c r="O21" s="12"/>
      <c r="P21" s="12"/>
      <c r="Q21" s="12"/>
      <c r="R21" s="20"/>
    </row>
    <row r="22" spans="1:18" ht="14.65" customHeight="1" x14ac:dyDescent="0.35">
      <c r="A22" s="149" t="s">
        <v>785</v>
      </c>
      <c r="B22" s="215" t="s">
        <v>786</v>
      </c>
      <c r="C22" s="130" t="s">
        <v>787</v>
      </c>
      <c r="D22" s="2" t="s">
        <v>29</v>
      </c>
      <c r="E22" s="240" t="s">
        <v>746</v>
      </c>
      <c r="F22" s="2">
        <v>0</v>
      </c>
      <c r="G22" s="2">
        <v>0</v>
      </c>
      <c r="H22" s="2">
        <v>0</v>
      </c>
      <c r="I22" s="12"/>
      <c r="J22" s="12"/>
      <c r="K22" s="12"/>
      <c r="L22" s="12"/>
      <c r="M22" s="12"/>
      <c r="N22" s="12"/>
      <c r="O22" s="12"/>
      <c r="P22" s="12"/>
      <c r="Q22" s="12"/>
      <c r="R22" s="20"/>
    </row>
    <row r="23" spans="1:18" ht="14.65" customHeight="1" x14ac:dyDescent="0.35">
      <c r="A23" s="149" t="s">
        <v>788</v>
      </c>
      <c r="B23" s="215" t="s">
        <v>789</v>
      </c>
      <c r="C23" s="130" t="s">
        <v>790</v>
      </c>
      <c r="D23" s="2" t="s">
        <v>29</v>
      </c>
      <c r="E23" s="240" t="s">
        <v>746</v>
      </c>
      <c r="F23" s="2">
        <v>0</v>
      </c>
      <c r="G23" s="2">
        <v>0</v>
      </c>
      <c r="H23" s="2">
        <v>0</v>
      </c>
      <c r="I23" s="12"/>
      <c r="J23" s="12"/>
      <c r="K23" s="12"/>
      <c r="L23" s="12"/>
      <c r="M23" s="12"/>
      <c r="N23" s="12"/>
      <c r="O23" s="12"/>
      <c r="P23" s="12"/>
      <c r="Q23" s="12"/>
      <c r="R23" s="20"/>
    </row>
    <row r="24" spans="1:18" ht="14.65" customHeight="1" x14ac:dyDescent="0.35">
      <c r="A24" s="149" t="s">
        <v>791</v>
      </c>
      <c r="B24" s="215" t="s">
        <v>792</v>
      </c>
      <c r="C24" s="130" t="s">
        <v>793</v>
      </c>
      <c r="D24" s="2" t="s">
        <v>29</v>
      </c>
      <c r="E24" s="240" t="s">
        <v>746</v>
      </c>
      <c r="F24" s="2">
        <v>0</v>
      </c>
      <c r="G24" s="2">
        <v>0</v>
      </c>
      <c r="H24" s="2">
        <v>0</v>
      </c>
      <c r="I24" s="12"/>
      <c r="J24" s="12"/>
      <c r="K24" s="12"/>
      <c r="L24" s="12"/>
      <c r="M24" s="12"/>
      <c r="N24" s="12"/>
      <c r="O24" s="12"/>
      <c r="P24" s="12"/>
      <c r="Q24" s="12"/>
      <c r="R24" s="20"/>
    </row>
    <row r="25" spans="1:18" ht="14.65" customHeight="1" x14ac:dyDescent="0.35">
      <c r="A25" s="149" t="s">
        <v>794</v>
      </c>
      <c r="B25" s="215" t="s">
        <v>795</v>
      </c>
      <c r="C25" s="129" t="s">
        <v>796</v>
      </c>
      <c r="D25" s="2" t="s">
        <v>29</v>
      </c>
      <c r="E25" s="240" t="s">
        <v>746</v>
      </c>
      <c r="F25" s="2">
        <v>0</v>
      </c>
      <c r="G25" s="2">
        <v>0</v>
      </c>
      <c r="H25" s="2">
        <v>0</v>
      </c>
      <c r="I25" s="12"/>
      <c r="J25" s="12"/>
      <c r="K25" s="12"/>
      <c r="L25" s="12"/>
      <c r="M25" s="12"/>
      <c r="N25" s="12"/>
      <c r="O25" s="12"/>
      <c r="P25" s="12"/>
      <c r="Q25" s="12"/>
      <c r="R25" s="20"/>
    </row>
    <row r="26" spans="1:18" ht="14.65" customHeight="1" x14ac:dyDescent="0.35">
      <c r="A26" s="149" t="s">
        <v>797</v>
      </c>
      <c r="B26" s="215" t="s">
        <v>798</v>
      </c>
      <c r="C26" s="129" t="s">
        <v>799</v>
      </c>
      <c r="D26" s="2" t="s">
        <v>29</v>
      </c>
      <c r="E26" s="240" t="s">
        <v>746</v>
      </c>
      <c r="F26" s="2">
        <v>0</v>
      </c>
      <c r="G26" s="2">
        <v>0</v>
      </c>
      <c r="H26" s="2">
        <v>0</v>
      </c>
      <c r="I26" s="12"/>
      <c r="J26" s="12"/>
      <c r="K26" s="12"/>
      <c r="L26" s="12"/>
      <c r="M26" s="12"/>
      <c r="N26" s="12"/>
      <c r="O26" s="12"/>
      <c r="P26" s="12"/>
      <c r="Q26" s="12"/>
      <c r="R26" s="20"/>
    </row>
    <row r="27" spans="1:18" ht="14.65" customHeight="1" x14ac:dyDescent="0.35">
      <c r="A27" s="149" t="s">
        <v>800</v>
      </c>
      <c r="B27" s="215" t="s">
        <v>801</v>
      </c>
      <c r="C27" s="130" t="s">
        <v>802</v>
      </c>
      <c r="D27" s="2" t="s">
        <v>29</v>
      </c>
      <c r="E27" s="240" t="s">
        <v>746</v>
      </c>
      <c r="F27" s="2">
        <v>0</v>
      </c>
      <c r="G27" s="2">
        <v>0</v>
      </c>
      <c r="H27" s="2">
        <v>0</v>
      </c>
      <c r="I27" s="12"/>
      <c r="J27" s="12"/>
      <c r="K27" s="12"/>
      <c r="L27" s="12"/>
      <c r="M27" s="12"/>
      <c r="N27" s="12"/>
      <c r="O27" s="12"/>
      <c r="P27" s="12"/>
      <c r="Q27" s="12"/>
      <c r="R27" s="20"/>
    </row>
    <row r="28" spans="1:18" ht="14.65" customHeight="1" x14ac:dyDescent="0.35">
      <c r="A28" s="149" t="s">
        <v>803</v>
      </c>
      <c r="B28" s="215" t="s">
        <v>804</v>
      </c>
      <c r="C28" s="130" t="s">
        <v>805</v>
      </c>
      <c r="D28" s="2" t="s">
        <v>29</v>
      </c>
      <c r="E28" s="240" t="s">
        <v>746</v>
      </c>
      <c r="F28" s="2">
        <v>0</v>
      </c>
      <c r="G28" s="2">
        <v>0</v>
      </c>
      <c r="H28" s="2">
        <v>0</v>
      </c>
      <c r="I28" s="12"/>
      <c r="J28" s="12"/>
      <c r="K28" s="12"/>
      <c r="L28" s="12"/>
      <c r="M28" s="12"/>
      <c r="N28" s="12"/>
      <c r="O28" s="12"/>
      <c r="P28" s="12"/>
      <c r="Q28" s="12"/>
      <c r="R28" s="20"/>
    </row>
    <row r="29" spans="1:18" ht="14.65" customHeight="1" x14ac:dyDescent="0.35">
      <c r="A29" s="149" t="s">
        <v>806</v>
      </c>
      <c r="B29" s="215" t="s">
        <v>807</v>
      </c>
      <c r="C29" s="130" t="s">
        <v>808</v>
      </c>
      <c r="D29" s="2" t="s">
        <v>29</v>
      </c>
      <c r="E29" s="240" t="s">
        <v>746</v>
      </c>
      <c r="F29" s="2">
        <v>0</v>
      </c>
      <c r="G29" s="2">
        <v>0</v>
      </c>
      <c r="H29" s="2">
        <v>0</v>
      </c>
      <c r="I29" s="12"/>
      <c r="J29" s="12"/>
      <c r="K29" s="12"/>
      <c r="L29" s="12"/>
      <c r="M29" s="12"/>
      <c r="N29" s="12"/>
      <c r="O29" s="12"/>
      <c r="P29" s="12"/>
      <c r="Q29" s="12"/>
      <c r="R29" s="20"/>
    </row>
    <row r="30" spans="1:18" ht="14.65" customHeight="1" x14ac:dyDescent="0.35">
      <c r="A30" s="149" t="s">
        <v>809</v>
      </c>
      <c r="B30" s="215" t="s">
        <v>810</v>
      </c>
      <c r="C30" s="130" t="s">
        <v>811</v>
      </c>
      <c r="D30" s="2" t="s">
        <v>29</v>
      </c>
      <c r="E30" s="240" t="s">
        <v>746</v>
      </c>
      <c r="F30" s="2">
        <v>0</v>
      </c>
      <c r="G30" s="2">
        <v>0</v>
      </c>
      <c r="H30" s="2">
        <v>0</v>
      </c>
      <c r="I30" s="12"/>
      <c r="J30" s="12"/>
      <c r="K30" s="12"/>
      <c r="L30" s="12"/>
      <c r="M30" s="12"/>
      <c r="N30" s="12"/>
      <c r="O30" s="12"/>
      <c r="P30" s="12"/>
      <c r="Q30" s="12"/>
      <c r="R30" s="20"/>
    </row>
    <row r="31" spans="1:18" ht="14.65" customHeight="1" x14ac:dyDescent="0.35">
      <c r="A31" s="149" t="s">
        <v>812</v>
      </c>
      <c r="B31" s="216" t="s">
        <v>813</v>
      </c>
      <c r="C31" s="240"/>
      <c r="D31" s="2" t="s">
        <v>29</v>
      </c>
      <c r="E31" s="240" t="s">
        <v>746</v>
      </c>
      <c r="F31" s="2">
        <v>0</v>
      </c>
      <c r="G31" s="2">
        <v>0</v>
      </c>
      <c r="H31" s="2">
        <v>0</v>
      </c>
      <c r="I31" s="12"/>
      <c r="J31" s="12"/>
      <c r="K31" s="12"/>
      <c r="L31" s="12"/>
      <c r="M31" s="12"/>
      <c r="N31" s="12"/>
      <c r="O31" s="12"/>
      <c r="P31" s="12"/>
      <c r="Q31" s="12"/>
      <c r="R31" s="20"/>
    </row>
    <row r="32" spans="1:18" ht="14.65" customHeight="1" x14ac:dyDescent="0.35">
      <c r="A32" s="149" t="s">
        <v>814</v>
      </c>
      <c r="B32" s="216"/>
      <c r="C32" s="213"/>
      <c r="D32" s="2" t="s">
        <v>29</v>
      </c>
      <c r="E32" s="240" t="s">
        <v>746</v>
      </c>
      <c r="F32" s="2">
        <v>0</v>
      </c>
      <c r="G32" s="2">
        <v>0</v>
      </c>
      <c r="H32" s="2">
        <v>0</v>
      </c>
      <c r="I32" s="12"/>
      <c r="J32" s="12"/>
      <c r="K32" s="12"/>
      <c r="L32" s="12"/>
      <c r="M32" s="12"/>
      <c r="N32" s="12"/>
      <c r="O32" s="12"/>
      <c r="P32" s="12"/>
      <c r="Q32" s="12"/>
      <c r="R32" s="20"/>
    </row>
    <row r="33" spans="1:18" ht="14.65" customHeight="1" x14ac:dyDescent="0.35">
      <c r="A33" s="149" t="s">
        <v>815</v>
      </c>
      <c r="B33" s="216" t="s">
        <v>816</v>
      </c>
      <c r="C33" s="213" t="s">
        <v>817</v>
      </c>
      <c r="D33" s="2" t="s">
        <v>29</v>
      </c>
      <c r="E33" s="240" t="s">
        <v>746</v>
      </c>
      <c r="F33" s="2">
        <v>0</v>
      </c>
      <c r="G33" s="2">
        <v>0</v>
      </c>
      <c r="H33" s="2">
        <v>0</v>
      </c>
      <c r="I33" s="12"/>
      <c r="J33" s="12"/>
      <c r="K33" s="12"/>
      <c r="L33" s="12"/>
      <c r="M33" s="12"/>
      <c r="N33" s="12"/>
      <c r="O33" s="12"/>
      <c r="P33" s="12"/>
      <c r="Q33" s="12"/>
      <c r="R33" s="20"/>
    </row>
    <row r="34" spans="1:18" ht="14.65" customHeight="1" x14ac:dyDescent="0.35">
      <c r="A34" s="149" t="s">
        <v>818</v>
      </c>
      <c r="B34" s="213" t="s">
        <v>819</v>
      </c>
      <c r="C34" s="240" t="s">
        <v>820</v>
      </c>
      <c r="D34" s="2" t="s">
        <v>29</v>
      </c>
      <c r="E34" s="240" t="s">
        <v>746</v>
      </c>
      <c r="F34" s="2">
        <v>0</v>
      </c>
      <c r="G34" s="2">
        <v>0</v>
      </c>
      <c r="H34" s="2">
        <v>0</v>
      </c>
      <c r="I34" s="12"/>
      <c r="J34" s="12"/>
      <c r="K34" s="12"/>
      <c r="L34" s="12"/>
      <c r="M34" s="12"/>
      <c r="N34" s="12"/>
      <c r="O34" s="12"/>
      <c r="P34" s="12"/>
      <c r="Q34" s="12"/>
      <c r="R34" s="20"/>
    </row>
    <row r="35" spans="1:18" ht="14.65" customHeight="1" x14ac:dyDescent="0.35">
      <c r="A35" s="149" t="s">
        <v>821</v>
      </c>
      <c r="B35" s="213" t="s">
        <v>822</v>
      </c>
      <c r="C35" s="240" t="s">
        <v>823</v>
      </c>
      <c r="D35" s="2" t="s">
        <v>29</v>
      </c>
      <c r="E35" s="240" t="s">
        <v>746</v>
      </c>
      <c r="F35" s="2">
        <v>0</v>
      </c>
      <c r="G35" s="2">
        <v>0</v>
      </c>
      <c r="H35" s="2">
        <v>0</v>
      </c>
      <c r="I35" s="12"/>
      <c r="J35" s="12"/>
      <c r="K35" s="12"/>
      <c r="L35" s="12"/>
      <c r="M35" s="12"/>
      <c r="N35" s="12"/>
      <c r="O35" s="12"/>
      <c r="P35" s="12"/>
      <c r="Q35" s="12"/>
      <c r="R35" s="20"/>
    </row>
    <row r="36" spans="1:18" x14ac:dyDescent="0.3">
      <c r="A36" s="240"/>
      <c r="B36" s="240"/>
      <c r="C36" s="240"/>
      <c r="D36" s="2"/>
      <c r="E36" s="240"/>
      <c r="F36" s="2"/>
      <c r="G36" s="2"/>
      <c r="H36" s="2"/>
      <c r="I36" s="12"/>
      <c r="J36" s="12"/>
      <c r="K36" s="12"/>
      <c r="L36" s="12"/>
      <c r="M36" s="12"/>
      <c r="N36" s="12"/>
      <c r="O36" s="12"/>
      <c r="P36" s="12"/>
      <c r="Q36" s="12"/>
      <c r="R36" s="20"/>
    </row>
    <row r="37" spans="1:18" x14ac:dyDescent="0.3">
      <c r="A37" s="240"/>
      <c r="B37" s="240"/>
      <c r="C37" s="240"/>
      <c r="D37" s="2"/>
      <c r="E37" s="240"/>
      <c r="F37" s="2"/>
      <c r="G37" s="2"/>
      <c r="H37" s="2"/>
      <c r="I37" s="12"/>
      <c r="J37" s="12"/>
      <c r="K37" s="12"/>
      <c r="L37" s="12"/>
      <c r="M37" s="12"/>
      <c r="N37" s="12"/>
      <c r="O37" s="12"/>
      <c r="P37" s="12"/>
      <c r="Q37" s="12"/>
      <c r="R37" s="20"/>
    </row>
    <row r="38" spans="1:18" ht="13.4" customHeight="1" thickBot="1" x14ac:dyDescent="0.35">
      <c r="A38" s="5"/>
      <c r="B38" s="5"/>
      <c r="C38" s="5"/>
      <c r="D38" s="5"/>
      <c r="E38" s="5"/>
      <c r="F38" s="5"/>
      <c r="G38" s="5"/>
      <c r="H38" s="5"/>
      <c r="I38" s="5"/>
      <c r="J38" s="5"/>
      <c r="K38" s="5"/>
      <c r="L38" s="5"/>
      <c r="M38" s="5"/>
      <c r="N38" s="5"/>
      <c r="O38" s="5"/>
      <c r="P38" s="5"/>
      <c r="Q38" s="5"/>
      <c r="R38" s="13"/>
    </row>
    <row r="39" spans="1:18" ht="13.4" customHeight="1" thickTop="1" x14ac:dyDescent="0.3">
      <c r="A39" s="21"/>
      <c r="B39" s="21"/>
      <c r="C39" s="21"/>
      <c r="D39" s="21"/>
      <c r="E39" s="21"/>
      <c r="F39" s="21"/>
      <c r="G39" s="21"/>
      <c r="H39" s="21"/>
      <c r="I39" s="21"/>
      <c r="J39" s="21"/>
      <c r="K39" s="21"/>
      <c r="L39" s="21"/>
      <c r="M39" s="21"/>
      <c r="N39" s="21"/>
      <c r="O39" s="21"/>
      <c r="P39" s="21"/>
      <c r="Q39" s="21"/>
      <c r="R39" s="22"/>
    </row>
    <row r="40" spans="1:18" ht="14.65" customHeight="1" x14ac:dyDescent="0.35">
      <c r="A40" s="309" t="s">
        <v>7</v>
      </c>
      <c r="B40" s="310"/>
      <c r="C40" s="310"/>
      <c r="D40" s="310"/>
      <c r="E40" s="310"/>
      <c r="F40" s="310"/>
      <c r="G40" s="310"/>
      <c r="H40" s="310"/>
      <c r="I40" s="310"/>
      <c r="J40" s="310"/>
      <c r="K40" s="310"/>
      <c r="L40" s="311"/>
      <c r="M40" s="121"/>
      <c r="N40" s="121"/>
      <c r="O40" s="121"/>
      <c r="P40" s="121"/>
      <c r="Q40" s="121"/>
      <c r="R40" s="23"/>
    </row>
    <row r="41" spans="1:18" x14ac:dyDescent="0.3">
      <c r="A41" s="233" t="s">
        <v>10</v>
      </c>
      <c r="B41" s="233" t="s">
        <v>11</v>
      </c>
      <c r="C41" s="233" t="s">
        <v>12</v>
      </c>
      <c r="D41" s="233" t="s">
        <v>13</v>
      </c>
      <c r="E41" s="233" t="s">
        <v>14</v>
      </c>
      <c r="F41" s="233" t="s">
        <v>15</v>
      </c>
      <c r="G41" s="233" t="s">
        <v>16</v>
      </c>
      <c r="H41" s="233" t="s">
        <v>17</v>
      </c>
      <c r="I41" s="233" t="s">
        <v>18</v>
      </c>
      <c r="J41" s="233" t="s">
        <v>19</v>
      </c>
      <c r="K41" s="233" t="s">
        <v>20</v>
      </c>
      <c r="L41" s="233" t="s">
        <v>729</v>
      </c>
      <c r="M41" s="28"/>
      <c r="N41" s="48"/>
      <c r="O41" s="48"/>
      <c r="P41" s="48"/>
      <c r="Q41" s="48"/>
      <c r="R41" s="29"/>
    </row>
    <row r="42" spans="1:18" x14ac:dyDescent="0.3">
      <c r="A42" s="241" t="s">
        <v>824</v>
      </c>
      <c r="B42" s="241" t="s">
        <v>27</v>
      </c>
      <c r="C42" s="241">
        <v>0</v>
      </c>
      <c r="D42" s="241" t="s">
        <v>825</v>
      </c>
      <c r="E42" s="241" t="s">
        <v>826</v>
      </c>
      <c r="F42" s="241"/>
      <c r="G42" s="188" t="s">
        <v>25</v>
      </c>
      <c r="H42" s="241" t="s">
        <v>824</v>
      </c>
      <c r="I42" s="241"/>
      <c r="J42" s="241"/>
      <c r="K42" s="7">
        <v>36892</v>
      </c>
      <c r="L42" s="51" t="s">
        <v>827</v>
      </c>
      <c r="M42" s="30"/>
      <c r="N42" s="49"/>
      <c r="O42" s="49"/>
      <c r="P42" s="49"/>
      <c r="Q42" s="49"/>
      <c r="R42" s="31"/>
    </row>
    <row r="43" spans="1:18" x14ac:dyDescent="0.3">
      <c r="A43" s="121"/>
      <c r="B43" s="121"/>
      <c r="C43" s="121"/>
      <c r="D43" s="121"/>
      <c r="E43" s="121"/>
      <c r="F43" s="121"/>
      <c r="G43" s="121"/>
      <c r="H43" s="121"/>
      <c r="I43" s="121"/>
      <c r="J43" s="121"/>
      <c r="K43" s="121"/>
      <c r="L43" s="121"/>
      <c r="M43" s="121"/>
      <c r="N43" s="121"/>
      <c r="O43" s="121"/>
      <c r="P43" s="121"/>
      <c r="Q43" s="121"/>
      <c r="R43" s="23"/>
    </row>
    <row r="44" spans="1:18" ht="14.65" customHeight="1" x14ac:dyDescent="0.35">
      <c r="A44" s="309" t="s">
        <v>36</v>
      </c>
      <c r="B44" s="310"/>
      <c r="C44" s="310"/>
      <c r="D44" s="311"/>
      <c r="E44" s="121"/>
      <c r="F44" s="121"/>
      <c r="G44" s="121"/>
      <c r="H44" s="121"/>
      <c r="I44" s="121"/>
      <c r="J44" s="121"/>
      <c r="K44" s="121"/>
      <c r="L44" s="121"/>
      <c r="M44" s="121"/>
      <c r="N44" s="121"/>
      <c r="O44" s="121"/>
      <c r="P44" s="121"/>
      <c r="Q44" s="121"/>
      <c r="R44" s="23"/>
    </row>
    <row r="45" spans="1:18" x14ac:dyDescent="0.3">
      <c r="A45" s="8" t="s">
        <v>13</v>
      </c>
      <c r="B45" s="8" t="s">
        <v>14</v>
      </c>
      <c r="C45" s="8" t="s">
        <v>15</v>
      </c>
      <c r="D45" s="8" t="s">
        <v>16</v>
      </c>
      <c r="E45" s="121"/>
      <c r="F45" s="121"/>
      <c r="G45" s="121"/>
      <c r="H45" s="121"/>
      <c r="I45" s="121"/>
      <c r="J45" s="121"/>
      <c r="K45" s="121"/>
      <c r="L45" s="121"/>
      <c r="M45" s="121"/>
      <c r="N45" s="121"/>
      <c r="O45" s="121"/>
      <c r="P45" s="121"/>
      <c r="Q45" s="121"/>
      <c r="R45" s="23"/>
    </row>
    <row r="46" spans="1:18" x14ac:dyDescent="0.3">
      <c r="A46" s="241">
        <v>1</v>
      </c>
      <c r="B46" s="241" t="s">
        <v>828</v>
      </c>
      <c r="C46" s="241"/>
      <c r="D46" s="188" t="s">
        <v>25</v>
      </c>
      <c r="E46" s="121"/>
      <c r="F46" s="121"/>
      <c r="G46" s="121"/>
      <c r="H46" s="121"/>
      <c r="I46" s="121"/>
      <c r="J46" s="121"/>
      <c r="K46" s="121"/>
      <c r="L46" s="121"/>
      <c r="M46" s="121"/>
      <c r="N46" s="121"/>
      <c r="O46" s="121"/>
      <c r="P46" s="121"/>
      <c r="Q46" s="121"/>
      <c r="R46" s="23"/>
    </row>
    <row r="47" spans="1:18" ht="13.4" customHeight="1" thickBot="1" x14ac:dyDescent="0.35">
      <c r="A47" s="9"/>
      <c r="B47" s="9"/>
      <c r="C47" s="9"/>
      <c r="D47" s="9"/>
      <c r="E47" s="9"/>
      <c r="F47" s="9"/>
      <c r="G47" s="9"/>
      <c r="H47" s="9"/>
      <c r="I47" s="9"/>
      <c r="J47" s="9"/>
      <c r="K47" s="9"/>
      <c r="L47" s="9"/>
      <c r="M47" s="9"/>
      <c r="N47" s="9"/>
      <c r="O47" s="9"/>
      <c r="P47" s="9"/>
      <c r="Q47" s="9"/>
      <c r="R47" s="24"/>
    </row>
    <row r="48" spans="1:18" ht="13.4" customHeight="1" thickTop="1" x14ac:dyDescent="0.35">
      <c r="A48" s="341" t="s">
        <v>7</v>
      </c>
      <c r="B48" s="342"/>
      <c r="C48" s="342"/>
      <c r="D48" s="342"/>
      <c r="E48" s="342"/>
      <c r="F48" s="342"/>
      <c r="G48" s="342"/>
      <c r="H48" s="342"/>
      <c r="I48" s="342"/>
      <c r="J48" s="342"/>
      <c r="K48" s="342"/>
      <c r="L48" s="342"/>
      <c r="M48" s="342"/>
      <c r="N48" s="343"/>
      <c r="O48" s="52"/>
      <c r="P48" s="52"/>
      <c r="Q48" s="52"/>
      <c r="R48" s="11"/>
    </row>
    <row r="49" spans="1:18" x14ac:dyDescent="0.3">
      <c r="A49" s="59" t="s">
        <v>10</v>
      </c>
      <c r="B49" s="59" t="s">
        <v>11</v>
      </c>
      <c r="C49" s="59" t="s">
        <v>12</v>
      </c>
      <c r="D49" s="59" t="s">
        <v>13</v>
      </c>
      <c r="E49" s="59" t="s">
        <v>14</v>
      </c>
      <c r="F49" s="59" t="s">
        <v>15</v>
      </c>
      <c r="G49" s="59" t="s">
        <v>16</v>
      </c>
      <c r="H49" s="59" t="s">
        <v>17</v>
      </c>
      <c r="I49" s="59" t="s">
        <v>18</v>
      </c>
      <c r="J49" s="59" t="s">
        <v>19</v>
      </c>
      <c r="K49" s="59" t="s">
        <v>20</v>
      </c>
      <c r="L49" s="59" t="s">
        <v>729</v>
      </c>
      <c r="M49" s="1" t="s">
        <v>730</v>
      </c>
      <c r="N49" s="1" t="s">
        <v>731</v>
      </c>
      <c r="O49" s="100"/>
      <c r="P49" s="100"/>
      <c r="Q49" s="100"/>
      <c r="R49" s="38"/>
    </row>
    <row r="50" spans="1:18" x14ac:dyDescent="0.3">
      <c r="A50" s="240" t="s">
        <v>829</v>
      </c>
      <c r="B50" s="240" t="s">
        <v>27</v>
      </c>
      <c r="C50" s="240">
        <v>0</v>
      </c>
      <c r="D50" s="240">
        <v>0</v>
      </c>
      <c r="E50" s="240" t="s">
        <v>830</v>
      </c>
      <c r="F50" s="240"/>
      <c r="G50" s="2" t="s">
        <v>25</v>
      </c>
      <c r="H50" s="240"/>
      <c r="I50" s="240"/>
      <c r="J50" s="240"/>
      <c r="K50" s="10">
        <v>36892</v>
      </c>
      <c r="L50" s="10"/>
      <c r="M50" s="2">
        <v>25</v>
      </c>
      <c r="N50" s="19">
        <v>1000000000</v>
      </c>
      <c r="O50" s="50"/>
      <c r="P50" s="50"/>
      <c r="Q50" s="50"/>
      <c r="R50" s="41"/>
    </row>
    <row r="51" spans="1:18" x14ac:dyDescent="0.3">
      <c r="A51" s="12"/>
      <c r="B51" s="12"/>
      <c r="C51" s="12"/>
      <c r="D51" s="12"/>
      <c r="E51" s="12"/>
      <c r="F51" s="12"/>
      <c r="G51" s="12"/>
      <c r="H51" s="12"/>
      <c r="I51" s="12"/>
      <c r="J51" s="12"/>
      <c r="K51" s="12"/>
      <c r="L51" s="12"/>
      <c r="M51" s="12"/>
      <c r="N51" s="12"/>
      <c r="O51" s="12"/>
      <c r="P51" s="12"/>
      <c r="Q51" s="12"/>
      <c r="R51" s="20"/>
    </row>
    <row r="52" spans="1:18" ht="14.65" customHeight="1" x14ac:dyDescent="0.35">
      <c r="A52" s="305" t="s">
        <v>36</v>
      </c>
      <c r="B52" s="306"/>
      <c r="C52" s="306"/>
      <c r="D52" s="307"/>
      <c r="E52" s="12"/>
      <c r="F52" s="12"/>
      <c r="G52" s="12"/>
      <c r="H52" s="12"/>
      <c r="I52" s="12"/>
      <c r="J52" s="12"/>
      <c r="K52" s="12"/>
      <c r="L52" s="12"/>
      <c r="M52" s="12"/>
      <c r="N52" s="12"/>
      <c r="O52" s="12"/>
      <c r="P52" s="12"/>
      <c r="Q52" s="12"/>
      <c r="R52" s="20"/>
    </row>
    <row r="53" spans="1:18" x14ac:dyDescent="0.3">
      <c r="A53" s="1" t="s">
        <v>13</v>
      </c>
      <c r="B53" s="1" t="s">
        <v>14</v>
      </c>
      <c r="C53" s="1" t="s">
        <v>15</v>
      </c>
      <c r="D53" s="1" t="s">
        <v>16</v>
      </c>
      <c r="E53" s="12"/>
      <c r="F53" s="12"/>
      <c r="G53" s="12"/>
      <c r="H53" s="12"/>
      <c r="I53" s="12"/>
      <c r="J53" s="12"/>
      <c r="K53" s="12"/>
      <c r="L53" s="12"/>
      <c r="M53" s="12"/>
      <c r="N53" s="12"/>
      <c r="O53" s="12"/>
      <c r="P53" s="12"/>
      <c r="Q53" s="12"/>
      <c r="R53" s="20"/>
    </row>
    <row r="54" spans="1:18" x14ac:dyDescent="0.3">
      <c r="A54" s="240">
        <v>1</v>
      </c>
      <c r="B54" s="240" t="s">
        <v>831</v>
      </c>
      <c r="C54" s="240"/>
      <c r="D54" s="2" t="s">
        <v>29</v>
      </c>
      <c r="E54" s="12"/>
      <c r="F54" s="12"/>
      <c r="G54" s="12"/>
      <c r="H54" s="12"/>
      <c r="I54" s="12"/>
      <c r="J54" s="12"/>
      <c r="K54" s="12"/>
      <c r="L54" s="12"/>
      <c r="M54" s="12"/>
      <c r="N54" s="12"/>
      <c r="O54" s="12"/>
      <c r="P54" s="12"/>
      <c r="Q54" s="12"/>
      <c r="R54" s="20"/>
    </row>
    <row r="55" spans="1:18" ht="13.4" customHeight="1" thickBot="1" x14ac:dyDescent="0.35">
      <c r="A55" s="5"/>
      <c r="B55" s="5"/>
      <c r="C55" s="5"/>
      <c r="D55" s="5"/>
      <c r="E55" s="5"/>
      <c r="F55" s="5"/>
      <c r="G55" s="5"/>
      <c r="H55" s="5"/>
      <c r="I55" s="5"/>
      <c r="J55" s="5"/>
      <c r="K55" s="5"/>
      <c r="L55" s="5"/>
      <c r="M55" s="5"/>
      <c r="N55" s="5"/>
      <c r="O55" s="5"/>
      <c r="P55" s="5"/>
      <c r="Q55" s="5"/>
      <c r="R55" s="13"/>
    </row>
    <row r="56" spans="1:18" ht="13.4" customHeight="1" thickTop="1" x14ac:dyDescent="0.3"/>
  </sheetData>
  <mergeCells count="7">
    <mergeCell ref="A52:D52"/>
    <mergeCell ref="A1:Q1"/>
    <mergeCell ref="A5:E5"/>
    <mergeCell ref="F5:H5"/>
    <mergeCell ref="A40:L40"/>
    <mergeCell ref="A44:D44"/>
    <mergeCell ref="A48:N48"/>
  </mergeCells>
  <dataValidations count="15">
    <dataValidation type="list" allowBlank="1" showInputMessage="1" showErrorMessage="1" sqref="B46" xr:uid="{00000000-0002-0000-0A00-000000000000}">
      <formula1>"FPGA_SPI,FPGA_SquibEmulation"</formula1>
    </dataValidation>
    <dataValidation type="list" allowBlank="1" showInputMessage="1" showErrorMessage="1" sqref="G3 G42 G50 D54 D46 D7:D36" xr:uid="{00000000-0002-0000-0A00-000001000000}">
      <formula1>"Yes,'---"</formula1>
    </dataValidation>
    <dataValidation type="date" operator="greaterThan" allowBlank="1" showInputMessage="1" showErrorMessage="1" sqref="K50 K3 K42 M42:R42 M50:R50 R3" xr:uid="{00000000-0002-0000-0A00-000002000000}">
      <formula1>36526</formula1>
    </dataValidation>
    <dataValidation allowBlank="1" showInputMessage="1" showErrorMessage="1" promptTitle="Engine Port Setting" prompt="This is the remote port that you are trying to connect to" sqref="C3 C42 C50" xr:uid="{00000000-0002-0000-0A00-000003000000}"/>
    <dataValidation type="list" allowBlank="1" showInputMessage="1" showErrorMessage="1" promptTitle="Engine IP Address" prompt="IP address of the machine that the Engine is running on" sqref="B3 B42 B50" xr:uid="{00000000-0002-0000-0A00-000004000000}">
      <formula1>"localhost"</formula1>
    </dataValidation>
    <dataValidation type="whole" operator="greaterThanOrEqual" allowBlank="1" showInputMessage="1" showErrorMessage="1" errorTitle="Trigger Window - Low" error="Value must be greater than or equal to 25nS" promptTitle="Trigger Window - Low" prompt="(nS) Set the duration of the shortest trigger pulse that you want the FPGA to respond to. Units are nanoseconds" sqref="M3 M42 M50" xr:uid="{00000000-0002-0000-0A00-000005000000}">
      <formula1>25</formula1>
    </dataValidation>
    <dataValidation type="whole" operator="greaterThanOrEqual" allowBlank="1" showInputMessage="1" showErrorMessage="1" errorTitle="Trigger Window - High" error="Value must be greater than or equal to 25nS" promptTitle="Trigger Window - High" prompt="(nS) Set the duration of the longest trigger pulse that you want the FPGA to respond to. Units are nanoseconds" sqref="N50:R50 N42:R42 N3 R3" xr:uid="{00000000-0002-0000-0A00-000006000000}">
      <formula1>25</formula1>
    </dataValidation>
    <dataValidation operator="greaterThan" allowBlank="1" showInputMessage="1" showErrorMessage="1" promptTitle="Absolute Path to Bitfile" prompt="Input the path to the bitfile that you want to load to the FPGA. This is required to run a test that requires FPGA functionality" sqref="L3 L50 L42" xr:uid="{00000000-0002-0000-0A00-000007000000}"/>
    <dataValidation type="list" operator="greaterThan" allowBlank="1" showInputMessage="1" showErrorMessage="1" errorTitle="UART Bit Order" error="Invalid Input" promptTitle="UART Bit Order" prompt="Define the bit order" sqref="O3" xr:uid="{00000000-0002-0000-0A00-000008000000}">
      <formula1>"LSb to MSb, MSb to LSb"</formula1>
    </dataValidation>
    <dataValidation type="list" operator="greaterThanOrEqual" allowBlank="1" showInputMessage="1" showErrorMessage="1" errorTitle="UART Bit Order" error="Invalid input" promptTitle="UART Bit Order" prompt="Define the bit order" sqref="O3" xr:uid="{00000000-0002-0000-0A00-000009000000}">
      <formula1>"LSb to MSb, MSb to LSb"</formula1>
    </dataValidation>
    <dataValidation type="whole" operator="greaterThan" allowBlank="1" showInputMessage="1" showErrorMessage="1" errorTitle="UART Message Length" error="Message length must be a whole number greater than  0" promptTitle="UART Message Length" prompt="Define the number of bits in a UART Message" sqref="P3" xr:uid="{00000000-0002-0000-0A00-00000A000000}">
      <formula1>0</formula1>
    </dataValidation>
    <dataValidation type="whole" operator="greaterThanOrEqual" allowBlank="1" showInputMessage="1" showErrorMessage="1" errorTitle="UART Message Length" error="Value must be whole number greater than 0" promptTitle="UART Message Length" prompt="Define the length of a UART Message in bits" sqref="P3" xr:uid="{00000000-0002-0000-0A00-00000B000000}">
      <formula1>0</formula1>
    </dataValidation>
    <dataValidation type="whole" operator="greaterThan" allowBlank="1" showInputMessage="1" showErrorMessage="1" errorTitle="UART Sample Rate" error="Sample rate must be a whole number greater than 0" promptTitle="UART Sample Rate" prompt="Define the time between bits" sqref="Q3" xr:uid="{00000000-0002-0000-0A00-00000C000000}">
      <formula1>0</formula1>
    </dataValidation>
    <dataValidation type="whole" operator="greaterThanOrEqual" allowBlank="1" showInputMessage="1" showErrorMessage="1" sqref="Q3" xr:uid="{00000000-0002-0000-0A00-00000D000000}">
      <formula1>25</formula1>
    </dataValidation>
    <dataValidation type="whole" operator="greaterThan" allowBlank="1" showInputMessage="1" showErrorMessage="1" sqref="M3:N3" xr:uid="{00000000-0002-0000-0A00-00000E000000}">
      <formula1>0</formula1>
    </dataValidation>
  </dataValidation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H58"/>
  <sheetViews>
    <sheetView topLeftCell="A25" zoomScale="130" zoomScaleNormal="130" workbookViewId="0">
      <selection activeCell="B49" sqref="B49"/>
    </sheetView>
  </sheetViews>
  <sheetFormatPr defaultRowHeight="14.5" x14ac:dyDescent="0.35"/>
  <cols>
    <col min="1" max="1" width="12.26953125" style="210" bestFit="1" customWidth="1"/>
    <col min="2" max="2" width="22.1796875" bestFit="1" customWidth="1"/>
    <col min="3" max="3" width="44" bestFit="1" customWidth="1"/>
    <col min="6" max="6" width="19.7265625" customWidth="1"/>
    <col min="7" max="7" width="25" style="212" customWidth="1"/>
    <col min="8" max="8" width="30.81640625" customWidth="1"/>
  </cols>
  <sheetData>
    <row r="1" spans="1:8" ht="15" customHeight="1" thickBot="1" x14ac:dyDescent="0.4">
      <c r="A1" s="344" t="s">
        <v>832</v>
      </c>
      <c r="B1" s="330"/>
      <c r="C1" s="330"/>
      <c r="D1" s="330"/>
      <c r="E1" s="345"/>
    </row>
    <row r="2" spans="1:8" x14ac:dyDescent="0.35">
      <c r="A2" s="208" t="s">
        <v>833</v>
      </c>
      <c r="B2" s="127" t="s">
        <v>834</v>
      </c>
      <c r="C2" s="248" t="s">
        <v>835</v>
      </c>
      <c r="D2" s="248" t="s">
        <v>836</v>
      </c>
      <c r="E2" s="128" t="s">
        <v>837</v>
      </c>
    </row>
    <row r="3" spans="1:8" ht="29.15" customHeight="1" x14ac:dyDescent="0.35">
      <c r="A3" s="209">
        <v>1</v>
      </c>
      <c r="C3" s="216" t="s">
        <v>744</v>
      </c>
      <c r="D3" s="149" t="s">
        <v>838</v>
      </c>
      <c r="E3" s="129"/>
      <c r="F3" s="205" t="s">
        <v>839</v>
      </c>
      <c r="G3" s="212" t="s">
        <v>840</v>
      </c>
      <c r="H3" t="s">
        <v>841</v>
      </c>
    </row>
    <row r="4" spans="1:8" ht="16" customHeight="1" x14ac:dyDescent="0.35">
      <c r="A4" s="209">
        <v>1.0009999999999999</v>
      </c>
      <c r="B4" s="214"/>
      <c r="C4" s="216" t="s">
        <v>748</v>
      </c>
      <c r="D4" s="149" t="s">
        <v>838</v>
      </c>
      <c r="E4" s="129"/>
      <c r="F4" s="204" t="s">
        <v>842</v>
      </c>
      <c r="G4" s="212" t="s">
        <v>843</v>
      </c>
    </row>
    <row r="5" spans="1:8" x14ac:dyDescent="0.35">
      <c r="A5" s="209">
        <v>1.002</v>
      </c>
      <c r="B5" s="214"/>
      <c r="C5" s="215" t="s">
        <v>750</v>
      </c>
      <c r="D5" s="149" t="s">
        <v>838</v>
      </c>
      <c r="E5" s="129"/>
    </row>
    <row r="6" spans="1:8" x14ac:dyDescent="0.35">
      <c r="A6" s="209">
        <v>1.0029999999999999</v>
      </c>
      <c r="B6" s="214"/>
      <c r="C6" s="215" t="s">
        <v>753</v>
      </c>
      <c r="D6" s="149" t="s">
        <v>838</v>
      </c>
      <c r="E6" s="129"/>
      <c r="F6" t="s">
        <v>844</v>
      </c>
    </row>
    <row r="7" spans="1:8" x14ac:dyDescent="0.35">
      <c r="A7" s="209">
        <v>1.004</v>
      </c>
      <c r="B7" s="214"/>
      <c r="C7" s="215" t="s">
        <v>756</v>
      </c>
      <c r="D7" s="149" t="s">
        <v>838</v>
      </c>
      <c r="E7" s="129"/>
    </row>
    <row r="8" spans="1:8" x14ac:dyDescent="0.35">
      <c r="A8" s="209">
        <v>1.0049999999999999</v>
      </c>
      <c r="B8" s="214"/>
      <c r="C8" s="215" t="s">
        <v>759</v>
      </c>
      <c r="D8" s="149" t="s">
        <v>838</v>
      </c>
      <c r="E8" s="129"/>
      <c r="F8" t="s">
        <v>845</v>
      </c>
    </row>
    <row r="9" spans="1:8" x14ac:dyDescent="0.35">
      <c r="A9" s="209">
        <v>1.006</v>
      </c>
      <c r="B9" s="214"/>
      <c r="C9" s="215" t="s">
        <v>762</v>
      </c>
      <c r="D9" s="149" t="s">
        <v>838</v>
      </c>
      <c r="E9" s="129"/>
    </row>
    <row r="10" spans="1:8" x14ac:dyDescent="0.35">
      <c r="A10" s="209">
        <v>1.0069999999999999</v>
      </c>
      <c r="B10" s="214"/>
      <c r="C10" s="215" t="s">
        <v>765</v>
      </c>
      <c r="D10" s="149" t="s">
        <v>838</v>
      </c>
      <c r="E10" s="129"/>
      <c r="F10" t="s">
        <v>846</v>
      </c>
    </row>
    <row r="11" spans="1:8" x14ac:dyDescent="0.35">
      <c r="A11" s="209">
        <v>1.008</v>
      </c>
      <c r="B11" s="214"/>
      <c r="C11" s="215" t="s">
        <v>768</v>
      </c>
      <c r="D11" s="149" t="s">
        <v>838</v>
      </c>
      <c r="E11" s="129"/>
    </row>
    <row r="12" spans="1:8" x14ac:dyDescent="0.35">
      <c r="A12" s="209">
        <v>1.0089999999999999</v>
      </c>
      <c r="B12" s="214"/>
      <c r="C12" s="215" t="s">
        <v>771</v>
      </c>
      <c r="D12" s="149" t="s">
        <v>838</v>
      </c>
      <c r="E12" s="129"/>
      <c r="F12" t="s">
        <v>847</v>
      </c>
    </row>
    <row r="13" spans="1:8" x14ac:dyDescent="0.35">
      <c r="A13" s="209">
        <v>1.01</v>
      </c>
      <c r="B13" s="214"/>
      <c r="C13" s="215" t="s">
        <v>774</v>
      </c>
      <c r="D13" s="149" t="s">
        <v>838</v>
      </c>
      <c r="E13" s="129"/>
    </row>
    <row r="14" spans="1:8" x14ac:dyDescent="0.35">
      <c r="A14" s="209">
        <v>1.0109999999999999</v>
      </c>
      <c r="B14" s="214"/>
      <c r="C14" s="215" t="s">
        <v>777</v>
      </c>
      <c r="D14" s="149" t="s">
        <v>838</v>
      </c>
      <c r="E14" s="129"/>
      <c r="F14" t="s">
        <v>848</v>
      </c>
    </row>
    <row r="15" spans="1:8" x14ac:dyDescent="0.35">
      <c r="A15" s="209">
        <v>1.012</v>
      </c>
      <c r="B15" s="214"/>
      <c r="C15" s="215" t="s">
        <v>779</v>
      </c>
      <c r="D15" s="149" t="s">
        <v>838</v>
      </c>
      <c r="E15" s="129"/>
    </row>
    <row r="16" spans="1:8" x14ac:dyDescent="0.35">
      <c r="A16" s="209">
        <v>1.0129999999999999</v>
      </c>
      <c r="B16" s="214"/>
      <c r="C16" s="215" t="s">
        <v>781</v>
      </c>
      <c r="D16" s="149" t="s">
        <v>838</v>
      </c>
      <c r="E16" s="129"/>
      <c r="F16" s="205" t="s">
        <v>849</v>
      </c>
    </row>
    <row r="17" spans="1:7" x14ac:dyDescent="0.35">
      <c r="A17" s="209">
        <v>1.014</v>
      </c>
      <c r="B17" s="214"/>
      <c r="C17" s="215" t="s">
        <v>783</v>
      </c>
      <c r="D17" s="149" t="s">
        <v>838</v>
      </c>
      <c r="E17" s="129"/>
      <c r="F17" s="207" t="s">
        <v>850</v>
      </c>
    </row>
    <row r="18" spans="1:7" x14ac:dyDescent="0.35">
      <c r="A18" s="209">
        <v>1.0149999999999999</v>
      </c>
      <c r="B18" s="214"/>
      <c r="C18" s="215" t="s">
        <v>786</v>
      </c>
      <c r="D18" s="149" t="s">
        <v>838</v>
      </c>
      <c r="E18" s="129"/>
      <c r="F18" s="207"/>
    </row>
    <row r="19" spans="1:7" x14ac:dyDescent="0.35">
      <c r="A19" s="209">
        <v>1.016</v>
      </c>
      <c r="B19" s="214"/>
      <c r="C19" s="215" t="s">
        <v>789</v>
      </c>
      <c r="D19" s="149" t="s">
        <v>838</v>
      </c>
      <c r="E19" s="129"/>
      <c r="F19" s="207" t="s">
        <v>851</v>
      </c>
    </row>
    <row r="20" spans="1:7" ht="29.15" customHeight="1" x14ac:dyDescent="0.35">
      <c r="A20" s="209">
        <v>1.0169999999999999</v>
      </c>
      <c r="B20" s="214"/>
      <c r="C20" s="215" t="s">
        <v>792</v>
      </c>
      <c r="D20" s="149" t="s">
        <v>838</v>
      </c>
      <c r="E20" s="129"/>
      <c r="F20" s="211" t="s">
        <v>852</v>
      </c>
      <c r="G20" s="206" t="s">
        <v>853</v>
      </c>
    </row>
    <row r="21" spans="1:7" x14ac:dyDescent="0.35">
      <c r="A21" s="209">
        <v>1.018</v>
      </c>
      <c r="B21" s="214"/>
      <c r="C21" s="215" t="s">
        <v>795</v>
      </c>
      <c r="D21" s="149" t="s">
        <v>838</v>
      </c>
      <c r="E21" s="129"/>
      <c r="F21" s="212" t="s">
        <v>854</v>
      </c>
    </row>
    <row r="22" spans="1:7" x14ac:dyDescent="0.35">
      <c r="A22" s="209">
        <v>1.0189999999999999</v>
      </c>
      <c r="C22" s="215" t="s">
        <v>798</v>
      </c>
      <c r="D22" s="149" t="s">
        <v>838</v>
      </c>
    </row>
    <row r="23" spans="1:7" x14ac:dyDescent="0.35">
      <c r="A23" s="209">
        <v>1.02</v>
      </c>
      <c r="C23" s="215" t="s">
        <v>801</v>
      </c>
      <c r="D23" s="149" t="s">
        <v>838</v>
      </c>
    </row>
    <row r="24" spans="1:7" x14ac:dyDescent="0.35">
      <c r="A24" s="209">
        <v>1.0209999999999999</v>
      </c>
      <c r="C24" s="215" t="s">
        <v>804</v>
      </c>
      <c r="D24" s="149" t="s">
        <v>838</v>
      </c>
    </row>
    <row r="25" spans="1:7" ht="58.4" customHeight="1" x14ac:dyDescent="0.35">
      <c r="A25" s="209">
        <v>1.022</v>
      </c>
      <c r="C25" s="215" t="s">
        <v>807</v>
      </c>
      <c r="D25" s="149" t="s">
        <v>838</v>
      </c>
      <c r="G25" s="212" t="s">
        <v>855</v>
      </c>
    </row>
    <row r="26" spans="1:7" x14ac:dyDescent="0.35">
      <c r="A26" s="209">
        <v>1.0229999999999999</v>
      </c>
      <c r="C26" s="215" t="s">
        <v>810</v>
      </c>
      <c r="D26" s="149" t="s">
        <v>838</v>
      </c>
    </row>
    <row r="27" spans="1:7" x14ac:dyDescent="0.35">
      <c r="A27" s="209">
        <v>1.024</v>
      </c>
      <c r="C27" s="216" t="s">
        <v>813</v>
      </c>
      <c r="D27" s="149" t="s">
        <v>838</v>
      </c>
    </row>
    <row r="28" spans="1:7" x14ac:dyDescent="0.35">
      <c r="A28" s="209">
        <v>1.026</v>
      </c>
      <c r="C28" s="216" t="s">
        <v>816</v>
      </c>
      <c r="D28" s="149" t="s">
        <v>838</v>
      </c>
    </row>
    <row r="29" spans="1:7" x14ac:dyDescent="0.35">
      <c r="A29" s="209">
        <v>1.0269999999999999</v>
      </c>
      <c r="C29" s="213" t="s">
        <v>819</v>
      </c>
      <c r="D29" s="149" t="s">
        <v>856</v>
      </c>
    </row>
    <row r="30" spans="1:7" x14ac:dyDescent="0.35">
      <c r="A30" s="209">
        <v>1.028</v>
      </c>
      <c r="C30" s="213" t="s">
        <v>822</v>
      </c>
      <c r="D30" s="149" t="s">
        <v>856</v>
      </c>
    </row>
    <row r="31" spans="1:7" x14ac:dyDescent="0.35">
      <c r="A31" s="210">
        <v>290</v>
      </c>
      <c r="C31" s="216" t="s">
        <v>744</v>
      </c>
      <c r="D31" s="248" t="s">
        <v>856</v>
      </c>
    </row>
    <row r="32" spans="1:7" x14ac:dyDescent="0.35">
      <c r="A32" s="210">
        <v>290.00099999999998</v>
      </c>
      <c r="C32" s="216" t="s">
        <v>748</v>
      </c>
      <c r="D32" s="248" t="s">
        <v>856</v>
      </c>
    </row>
    <row r="33" spans="1:4" x14ac:dyDescent="0.35">
      <c r="A33" s="210">
        <v>290.00200000000001</v>
      </c>
      <c r="C33" s="215" t="s">
        <v>750</v>
      </c>
      <c r="D33" s="248" t="s">
        <v>856</v>
      </c>
    </row>
    <row r="34" spans="1:4" x14ac:dyDescent="0.35">
      <c r="A34" s="210">
        <v>290.00299999999999</v>
      </c>
      <c r="C34" s="215" t="s">
        <v>753</v>
      </c>
      <c r="D34" s="248" t="s">
        <v>856</v>
      </c>
    </row>
    <row r="35" spans="1:4" x14ac:dyDescent="0.35">
      <c r="A35" s="210">
        <v>290.00400000000002</v>
      </c>
      <c r="C35" s="215" t="s">
        <v>756</v>
      </c>
      <c r="D35" s="248" t="s">
        <v>856</v>
      </c>
    </row>
    <row r="36" spans="1:4" x14ac:dyDescent="0.35">
      <c r="A36" s="210">
        <v>290.005</v>
      </c>
      <c r="C36" s="215" t="s">
        <v>759</v>
      </c>
      <c r="D36" s="248" t="s">
        <v>856</v>
      </c>
    </row>
    <row r="37" spans="1:4" x14ac:dyDescent="0.35">
      <c r="A37" s="210">
        <v>290.00599999999997</v>
      </c>
      <c r="C37" s="215" t="s">
        <v>762</v>
      </c>
      <c r="D37" s="248" t="s">
        <v>856</v>
      </c>
    </row>
    <row r="38" spans="1:4" x14ac:dyDescent="0.35">
      <c r="A38" s="210">
        <v>290.00700000000001</v>
      </c>
      <c r="C38" s="215" t="s">
        <v>765</v>
      </c>
      <c r="D38" s="248" t="s">
        <v>856</v>
      </c>
    </row>
    <row r="39" spans="1:4" x14ac:dyDescent="0.35">
      <c r="A39" s="210">
        <v>290.00799999999998</v>
      </c>
      <c r="C39" s="215" t="s">
        <v>768</v>
      </c>
      <c r="D39" s="248" t="s">
        <v>856</v>
      </c>
    </row>
    <row r="40" spans="1:4" x14ac:dyDescent="0.35">
      <c r="A40" s="210">
        <v>290.00900000000001</v>
      </c>
      <c r="C40" s="215" t="s">
        <v>771</v>
      </c>
      <c r="D40" s="248" t="s">
        <v>856</v>
      </c>
    </row>
    <row r="41" spans="1:4" x14ac:dyDescent="0.35">
      <c r="A41" s="210">
        <v>290.01</v>
      </c>
      <c r="C41" s="215" t="s">
        <v>774</v>
      </c>
      <c r="D41" s="248" t="s">
        <v>856</v>
      </c>
    </row>
    <row r="42" spans="1:4" x14ac:dyDescent="0.35">
      <c r="A42" s="210">
        <v>290.01100000000002</v>
      </c>
      <c r="C42" s="215" t="s">
        <v>777</v>
      </c>
      <c r="D42" s="248" t="s">
        <v>856</v>
      </c>
    </row>
    <row r="43" spans="1:4" x14ac:dyDescent="0.35">
      <c r="A43" s="210">
        <v>290.012</v>
      </c>
      <c r="C43" s="215" t="s">
        <v>779</v>
      </c>
      <c r="D43" s="248" t="s">
        <v>856</v>
      </c>
    </row>
    <row r="44" spans="1:4" x14ac:dyDescent="0.35">
      <c r="A44" s="210">
        <v>290.01299999999998</v>
      </c>
      <c r="C44" s="215" t="s">
        <v>781</v>
      </c>
      <c r="D44" s="248" t="s">
        <v>856</v>
      </c>
    </row>
    <row r="45" spans="1:4" x14ac:dyDescent="0.35">
      <c r="A45" s="210">
        <v>290.01400000000001</v>
      </c>
      <c r="C45" s="215" t="s">
        <v>783</v>
      </c>
      <c r="D45" s="248" t="s">
        <v>856</v>
      </c>
    </row>
    <row r="46" spans="1:4" x14ac:dyDescent="0.35">
      <c r="A46" s="210">
        <v>290.01499999999999</v>
      </c>
      <c r="C46" s="215" t="s">
        <v>786</v>
      </c>
      <c r="D46" s="248" t="s">
        <v>856</v>
      </c>
    </row>
    <row r="47" spans="1:4" x14ac:dyDescent="0.35">
      <c r="A47" s="210">
        <v>290.01600000000002</v>
      </c>
      <c r="C47" s="215" t="s">
        <v>789</v>
      </c>
      <c r="D47" s="248" t="s">
        <v>856</v>
      </c>
    </row>
    <row r="48" spans="1:4" x14ac:dyDescent="0.35">
      <c r="A48" s="210">
        <v>290.017</v>
      </c>
      <c r="C48" s="215" t="s">
        <v>792</v>
      </c>
      <c r="D48" s="248" t="s">
        <v>856</v>
      </c>
    </row>
    <row r="49" spans="1:4" x14ac:dyDescent="0.35">
      <c r="A49" s="210">
        <v>290.01799999999997</v>
      </c>
      <c r="C49" s="215" t="s">
        <v>795</v>
      </c>
      <c r="D49" s="248" t="s">
        <v>856</v>
      </c>
    </row>
    <row r="50" spans="1:4" x14ac:dyDescent="0.35">
      <c r="A50" s="210">
        <v>290.01900000000001</v>
      </c>
      <c r="C50" s="215" t="s">
        <v>798</v>
      </c>
      <c r="D50" s="248" t="s">
        <v>856</v>
      </c>
    </row>
    <row r="51" spans="1:4" x14ac:dyDescent="0.35">
      <c r="A51" s="210">
        <v>290.02</v>
      </c>
      <c r="C51" s="215" t="s">
        <v>801</v>
      </c>
      <c r="D51" s="248" t="s">
        <v>856</v>
      </c>
    </row>
    <row r="52" spans="1:4" x14ac:dyDescent="0.35">
      <c r="A52" s="210">
        <v>290.02100000000002</v>
      </c>
      <c r="C52" s="215" t="s">
        <v>804</v>
      </c>
      <c r="D52" s="248" t="s">
        <v>856</v>
      </c>
    </row>
    <row r="53" spans="1:4" x14ac:dyDescent="0.35">
      <c r="A53" s="210">
        <v>290.02199999999903</v>
      </c>
      <c r="C53" s="215" t="s">
        <v>807</v>
      </c>
      <c r="D53" s="248" t="s">
        <v>856</v>
      </c>
    </row>
    <row r="54" spans="1:4" x14ac:dyDescent="0.35">
      <c r="A54" s="210">
        <v>290.022999999999</v>
      </c>
      <c r="C54" s="215" t="s">
        <v>810</v>
      </c>
      <c r="D54" s="248" t="s">
        <v>856</v>
      </c>
    </row>
    <row r="55" spans="1:4" x14ac:dyDescent="0.35">
      <c r="A55" s="210">
        <v>290.02399999999898</v>
      </c>
      <c r="C55" s="216" t="s">
        <v>813</v>
      </c>
      <c r="D55" s="248" t="s">
        <v>856</v>
      </c>
    </row>
    <row r="56" spans="1:4" x14ac:dyDescent="0.35">
      <c r="A56" s="210">
        <v>290.02499999999901</v>
      </c>
      <c r="C56" s="216" t="s">
        <v>816</v>
      </c>
      <c r="D56" s="248" t="s">
        <v>856</v>
      </c>
    </row>
    <row r="57" spans="1:4" x14ac:dyDescent="0.35">
      <c r="A57" s="210">
        <v>290.02599999999899</v>
      </c>
      <c r="C57" s="213" t="s">
        <v>819</v>
      </c>
      <c r="D57" s="248" t="s">
        <v>856</v>
      </c>
    </row>
    <row r="58" spans="1:4" x14ac:dyDescent="0.35">
      <c r="A58" s="210">
        <v>290.02699999999902</v>
      </c>
      <c r="C58" s="213" t="s">
        <v>822</v>
      </c>
      <c r="D58" s="248" t="s">
        <v>856</v>
      </c>
    </row>
  </sheetData>
  <mergeCells count="1">
    <mergeCell ref="A1:E1"/>
  </mergeCells>
  <pageMargins left="0.7" right="0.7" top="0.75" bottom="0.75" header="0.3" footer="0.3"/>
  <pageSetup orientation="portrait" horizontalDpi="1200" verticalDpi="12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V99"/>
  <sheetViews>
    <sheetView topLeftCell="A73" zoomScale="130" zoomScaleNormal="130" workbookViewId="0">
      <selection activeCell="G85" sqref="G85"/>
    </sheetView>
  </sheetViews>
  <sheetFormatPr defaultColWidth="17.453125" defaultRowHeight="13" x14ac:dyDescent="0.3"/>
  <cols>
    <col min="1" max="1" width="29.26953125" style="119" bestFit="1" customWidth="1"/>
    <col min="2" max="2" width="21.7265625" style="119" bestFit="1" customWidth="1"/>
    <col min="3" max="3" width="33.453125" style="119" bestFit="1" customWidth="1"/>
    <col min="4" max="5" width="11.7265625" style="119" bestFit="1" customWidth="1"/>
    <col min="6" max="6" width="30.54296875" style="119" bestFit="1" customWidth="1"/>
    <col min="7" max="7" width="7.26953125" style="119" bestFit="1" customWidth="1"/>
    <col min="8" max="8" width="7.54296875" style="119" bestFit="1" customWidth="1"/>
    <col min="9" max="9" width="12.453125" style="119" bestFit="1" customWidth="1"/>
    <col min="10" max="10" width="12.453125" style="126" bestFit="1" customWidth="1"/>
    <col min="11" max="11" width="13.54296875" style="126" bestFit="1" customWidth="1"/>
    <col min="12" max="12" width="13.26953125" style="126" bestFit="1" customWidth="1"/>
    <col min="13" max="13" width="16.54296875" style="126" bestFit="1" customWidth="1"/>
    <col min="14" max="14" width="16.453125" style="126" bestFit="1" customWidth="1"/>
    <col min="15" max="15" width="13.54296875" style="119" bestFit="1" customWidth="1"/>
    <col min="16" max="16" width="12.26953125" style="119" bestFit="1" customWidth="1"/>
    <col min="17" max="18" width="15.453125" style="119" bestFit="1" customWidth="1"/>
    <col min="19" max="19" width="11.7265625" style="119" bestFit="1" customWidth="1"/>
    <col min="20" max="26" width="17.453125" style="119" customWidth="1"/>
    <col min="27" max="16384" width="17.453125" style="119"/>
  </cols>
  <sheetData>
    <row r="1" spans="1:21" ht="14.65" customHeight="1" x14ac:dyDescent="0.35">
      <c r="A1" s="302" t="s">
        <v>7</v>
      </c>
      <c r="B1" s="303"/>
      <c r="C1" s="303"/>
      <c r="D1" s="303"/>
      <c r="E1" s="303"/>
      <c r="F1" s="303"/>
      <c r="G1" s="303"/>
      <c r="H1" s="303"/>
      <c r="I1" s="303"/>
      <c r="J1" s="303"/>
      <c r="K1" s="303"/>
      <c r="L1" s="303"/>
      <c r="M1" s="303"/>
      <c r="N1" s="303"/>
      <c r="O1" s="303"/>
      <c r="P1" s="303"/>
      <c r="Q1" s="303"/>
      <c r="R1" s="303"/>
      <c r="S1" s="303"/>
      <c r="T1" s="303"/>
      <c r="U1" s="304"/>
    </row>
    <row r="2" spans="1:21" x14ac:dyDescent="0.3">
      <c r="A2" s="59" t="s">
        <v>10</v>
      </c>
      <c r="B2" s="59" t="s">
        <v>11</v>
      </c>
      <c r="C2" s="59" t="s">
        <v>12</v>
      </c>
      <c r="D2" s="59" t="s">
        <v>13</v>
      </c>
      <c r="E2" s="59" t="s">
        <v>14</v>
      </c>
      <c r="F2" s="59" t="s">
        <v>15</v>
      </c>
      <c r="G2" s="59" t="s">
        <v>16</v>
      </c>
      <c r="H2" s="59" t="s">
        <v>17</v>
      </c>
      <c r="I2" s="59" t="s">
        <v>18</v>
      </c>
      <c r="J2" s="59" t="s">
        <v>19</v>
      </c>
      <c r="K2" s="59" t="s">
        <v>20</v>
      </c>
      <c r="L2" s="47" t="s">
        <v>857</v>
      </c>
      <c r="M2" s="47" t="s">
        <v>858</v>
      </c>
      <c r="N2" s="47" t="s">
        <v>859</v>
      </c>
      <c r="O2" s="47" t="s">
        <v>860</v>
      </c>
      <c r="P2" s="47" t="s">
        <v>346</v>
      </c>
      <c r="Q2" s="47" t="s">
        <v>861</v>
      </c>
      <c r="R2" s="47" t="s">
        <v>862</v>
      </c>
      <c r="S2" s="47" t="s">
        <v>863</v>
      </c>
      <c r="T2" s="1" t="s">
        <v>152</v>
      </c>
      <c r="U2" s="1" t="s">
        <v>864</v>
      </c>
    </row>
    <row r="3" spans="1:21" x14ac:dyDescent="0.3">
      <c r="A3" s="240" t="s">
        <v>315</v>
      </c>
      <c r="B3" s="240" t="s">
        <v>27</v>
      </c>
      <c r="C3" s="240">
        <v>0</v>
      </c>
      <c r="D3" s="240" t="s">
        <v>865</v>
      </c>
      <c r="E3" s="240" t="s">
        <v>865</v>
      </c>
      <c r="F3" s="240" t="s">
        <v>866</v>
      </c>
      <c r="G3" s="193" t="s">
        <v>29</v>
      </c>
      <c r="H3" s="240"/>
      <c r="I3" s="240">
        <v>234</v>
      </c>
      <c r="J3" s="240">
        <v>556</v>
      </c>
      <c r="K3" s="10">
        <v>36892</v>
      </c>
      <c r="L3" s="240">
        <v>1000000</v>
      </c>
      <c r="M3" s="241">
        <f>SampleRate_01*0.01</f>
        <v>10000</v>
      </c>
      <c r="N3" s="240" t="s">
        <v>867</v>
      </c>
      <c r="O3" s="240" t="s">
        <v>868</v>
      </c>
      <c r="P3" s="240" t="s">
        <v>869</v>
      </c>
      <c r="Q3" s="189">
        <v>2</v>
      </c>
      <c r="R3" s="240">
        <v>2</v>
      </c>
      <c r="S3" s="240">
        <v>10</v>
      </c>
      <c r="T3" s="2" t="s">
        <v>25</v>
      </c>
      <c r="U3" s="2" t="s">
        <v>25</v>
      </c>
    </row>
    <row r="4" spans="1:21" x14ac:dyDescent="0.3">
      <c r="A4" s="12"/>
      <c r="B4" s="12"/>
      <c r="C4" s="12"/>
      <c r="D4" s="12"/>
      <c r="E4" s="12"/>
      <c r="F4" s="12"/>
      <c r="G4" s="12"/>
      <c r="H4" s="12"/>
      <c r="I4" s="12"/>
      <c r="J4" s="52"/>
      <c r="K4" s="52"/>
      <c r="L4" s="52"/>
      <c r="M4" s="52"/>
      <c r="N4" s="52"/>
      <c r="O4" s="12"/>
      <c r="P4" s="12"/>
      <c r="Q4" s="12"/>
      <c r="R4" s="12"/>
      <c r="S4" s="12"/>
      <c r="T4" s="12"/>
      <c r="U4" s="97"/>
    </row>
    <row r="5" spans="1:21" ht="14.65" customHeight="1" x14ac:dyDescent="0.35">
      <c r="A5" s="305" t="s">
        <v>36</v>
      </c>
      <c r="B5" s="306"/>
      <c r="C5" s="306"/>
      <c r="D5" s="306"/>
      <c r="E5" s="306"/>
      <c r="F5" s="306"/>
      <c r="G5" s="306"/>
      <c r="H5" s="306"/>
      <c r="I5" s="306"/>
      <c r="J5" s="306"/>
      <c r="K5" s="306"/>
      <c r="L5" s="307"/>
      <c r="M5" s="12"/>
      <c r="N5" s="12"/>
      <c r="O5" s="12"/>
      <c r="P5" s="12"/>
      <c r="Q5" s="12"/>
      <c r="R5" s="12"/>
      <c r="S5" s="12"/>
      <c r="T5" s="12"/>
      <c r="U5" s="20"/>
    </row>
    <row r="6" spans="1:21" ht="13.4" customHeight="1" thickBot="1" x14ac:dyDescent="0.35">
      <c r="A6" s="1" t="s">
        <v>13</v>
      </c>
      <c r="B6" s="1" t="s">
        <v>14</v>
      </c>
      <c r="C6" s="1" t="s">
        <v>15</v>
      </c>
      <c r="D6" s="1" t="s">
        <v>16</v>
      </c>
      <c r="E6" s="1" t="s">
        <v>870</v>
      </c>
      <c r="F6" s="1" t="s">
        <v>871</v>
      </c>
      <c r="G6" s="1" t="s">
        <v>176</v>
      </c>
      <c r="H6" s="1" t="s">
        <v>872</v>
      </c>
      <c r="I6" s="1" t="s">
        <v>873</v>
      </c>
      <c r="J6" s="1" t="s">
        <v>874</v>
      </c>
      <c r="K6" s="1" t="s">
        <v>875</v>
      </c>
      <c r="L6" s="1" t="s">
        <v>876</v>
      </c>
      <c r="M6" s="12"/>
      <c r="N6" s="12"/>
      <c r="O6" s="12"/>
      <c r="P6" s="12"/>
      <c r="Q6" s="12"/>
      <c r="R6" s="12"/>
      <c r="S6" s="12"/>
      <c r="T6" s="12"/>
      <c r="U6" s="20"/>
    </row>
    <row r="7" spans="1:21" x14ac:dyDescent="0.3">
      <c r="A7" s="240">
        <v>0</v>
      </c>
      <c r="B7" s="147" t="s">
        <v>877</v>
      </c>
      <c r="C7" s="147" t="s">
        <v>878</v>
      </c>
      <c r="D7" s="193" t="s">
        <v>29</v>
      </c>
      <c r="E7" s="240">
        <v>1</v>
      </c>
      <c r="F7" s="240">
        <v>0</v>
      </c>
      <c r="G7" s="240" t="s">
        <v>879</v>
      </c>
      <c r="H7" s="240">
        <v>5</v>
      </c>
      <c r="I7" s="240">
        <v>0</v>
      </c>
      <c r="J7" s="240">
        <v>1</v>
      </c>
      <c r="K7" s="240" t="s">
        <v>868</v>
      </c>
      <c r="L7" s="240" t="s">
        <v>880</v>
      </c>
      <c r="M7" s="12"/>
      <c r="N7" s="12"/>
      <c r="O7" s="12"/>
      <c r="P7" s="12"/>
      <c r="Q7" s="12"/>
      <c r="R7" s="12"/>
      <c r="S7" s="12"/>
      <c r="T7" s="12"/>
      <c r="U7" s="20"/>
    </row>
    <row r="8" spans="1:21" x14ac:dyDescent="0.3">
      <c r="A8" s="240">
        <v>1</v>
      </c>
      <c r="B8" s="148" t="s">
        <v>881</v>
      </c>
      <c r="C8" s="148" t="s">
        <v>882</v>
      </c>
      <c r="D8" s="193" t="s">
        <v>25</v>
      </c>
      <c r="E8" s="240">
        <v>1</v>
      </c>
      <c r="F8" s="240">
        <v>0</v>
      </c>
      <c r="G8" s="240" t="s">
        <v>879</v>
      </c>
      <c r="H8" s="240">
        <v>5</v>
      </c>
      <c r="I8" s="240">
        <v>0</v>
      </c>
      <c r="J8" s="240">
        <v>1</v>
      </c>
      <c r="K8" s="240" t="s">
        <v>868</v>
      </c>
      <c r="L8" s="240" t="s">
        <v>880</v>
      </c>
      <c r="M8" s="12"/>
      <c r="N8" s="12"/>
      <c r="O8" s="12"/>
      <c r="P8" s="12"/>
      <c r="Q8" s="12"/>
      <c r="R8" s="12"/>
      <c r="S8" s="12"/>
      <c r="T8" s="12"/>
      <c r="U8" s="20"/>
    </row>
    <row r="9" spans="1:21" x14ac:dyDescent="0.3">
      <c r="A9" s="240">
        <v>2</v>
      </c>
      <c r="B9" s="148" t="s">
        <v>883</v>
      </c>
      <c r="C9" s="148" t="s">
        <v>884</v>
      </c>
      <c r="D9" s="2" t="s">
        <v>25</v>
      </c>
      <c r="E9" s="240">
        <v>1</v>
      </c>
      <c r="F9" s="240">
        <v>0</v>
      </c>
      <c r="G9" s="240" t="s">
        <v>879</v>
      </c>
      <c r="H9" s="240">
        <v>5</v>
      </c>
      <c r="I9" s="240">
        <v>0</v>
      </c>
      <c r="J9" s="240">
        <v>1</v>
      </c>
      <c r="K9" s="240" t="s">
        <v>868</v>
      </c>
      <c r="L9" s="240" t="s">
        <v>880</v>
      </c>
      <c r="M9" s="12"/>
      <c r="N9" s="12"/>
      <c r="O9" s="12"/>
      <c r="P9" s="12"/>
      <c r="Q9" s="12"/>
      <c r="R9" s="12"/>
      <c r="S9" s="12"/>
      <c r="T9" s="12"/>
      <c r="U9" s="20"/>
    </row>
    <row r="10" spans="1:21" x14ac:dyDescent="0.3">
      <c r="A10" s="240">
        <v>3</v>
      </c>
      <c r="B10" s="148" t="s">
        <v>885</v>
      </c>
      <c r="C10" s="148" t="s">
        <v>886</v>
      </c>
      <c r="D10" s="2" t="s">
        <v>25</v>
      </c>
      <c r="E10" s="240">
        <v>1</v>
      </c>
      <c r="F10" s="240">
        <v>0</v>
      </c>
      <c r="G10" s="240" t="s">
        <v>879</v>
      </c>
      <c r="H10" s="240">
        <v>5</v>
      </c>
      <c r="I10" s="240">
        <v>0</v>
      </c>
      <c r="J10" s="240">
        <v>1</v>
      </c>
      <c r="K10" s="240" t="s">
        <v>868</v>
      </c>
      <c r="L10" s="240" t="s">
        <v>880</v>
      </c>
      <c r="M10" s="12"/>
      <c r="N10" s="12"/>
      <c r="O10" s="12"/>
      <c r="P10" s="12"/>
      <c r="Q10" s="12"/>
      <c r="R10" s="12"/>
      <c r="S10" s="12"/>
      <c r="T10" s="12"/>
      <c r="U10" s="20"/>
    </row>
    <row r="11" spans="1:21" x14ac:dyDescent="0.3">
      <c r="A11" s="240">
        <v>4</v>
      </c>
      <c r="B11" s="148" t="s">
        <v>887</v>
      </c>
      <c r="C11" s="148" t="s">
        <v>888</v>
      </c>
      <c r="D11" s="2" t="s">
        <v>25</v>
      </c>
      <c r="E11" s="240">
        <v>1</v>
      </c>
      <c r="F11" s="240">
        <v>0</v>
      </c>
      <c r="G11" s="240" t="s">
        <v>879</v>
      </c>
      <c r="H11" s="240">
        <v>5</v>
      </c>
      <c r="I11" s="240">
        <v>0</v>
      </c>
      <c r="J11" s="240">
        <v>1</v>
      </c>
      <c r="K11" s="240" t="s">
        <v>868</v>
      </c>
      <c r="L11" s="240" t="s">
        <v>880</v>
      </c>
      <c r="M11" s="12"/>
      <c r="N11" s="12"/>
      <c r="O11" s="12"/>
      <c r="P11" s="12"/>
      <c r="Q11" s="12"/>
      <c r="R11" s="12"/>
      <c r="S11" s="12"/>
      <c r="T11" s="12"/>
      <c r="U11" s="20"/>
    </row>
    <row r="12" spans="1:21" x14ac:dyDescent="0.3">
      <c r="A12" s="240">
        <v>5</v>
      </c>
      <c r="B12" s="148" t="s">
        <v>889</v>
      </c>
      <c r="C12" s="148" t="s">
        <v>890</v>
      </c>
      <c r="D12" s="2" t="s">
        <v>25</v>
      </c>
      <c r="E12" s="240">
        <v>1</v>
      </c>
      <c r="F12" s="240">
        <v>0</v>
      </c>
      <c r="G12" s="240" t="s">
        <v>879</v>
      </c>
      <c r="H12" s="240">
        <v>5</v>
      </c>
      <c r="I12" s="240">
        <v>0</v>
      </c>
      <c r="J12" s="240">
        <v>1</v>
      </c>
      <c r="K12" s="240" t="s">
        <v>868</v>
      </c>
      <c r="L12" s="240" t="s">
        <v>880</v>
      </c>
      <c r="M12" s="12"/>
      <c r="N12" s="12"/>
      <c r="O12" s="12"/>
      <c r="P12" s="12"/>
      <c r="Q12" s="12"/>
      <c r="R12" s="12"/>
      <c r="S12" s="12"/>
      <c r="T12" s="12"/>
      <c r="U12" s="20"/>
    </row>
    <row r="13" spans="1:21" x14ac:dyDescent="0.3">
      <c r="A13" s="240">
        <v>6</v>
      </c>
      <c r="B13" s="148" t="s">
        <v>891</v>
      </c>
      <c r="C13" s="148" t="s">
        <v>892</v>
      </c>
      <c r="D13" s="193" t="s">
        <v>25</v>
      </c>
      <c r="E13" s="240">
        <v>1</v>
      </c>
      <c r="F13" s="240">
        <v>0</v>
      </c>
      <c r="G13" s="240" t="s">
        <v>879</v>
      </c>
      <c r="H13" s="240">
        <v>5</v>
      </c>
      <c r="I13" s="240">
        <v>0</v>
      </c>
      <c r="J13" s="240">
        <v>1</v>
      </c>
      <c r="K13" s="240" t="s">
        <v>868</v>
      </c>
      <c r="L13" s="240" t="s">
        <v>880</v>
      </c>
      <c r="M13" s="12"/>
      <c r="N13" s="12"/>
      <c r="O13" s="12"/>
      <c r="P13" s="12"/>
      <c r="Q13" s="12"/>
      <c r="R13" s="12"/>
      <c r="S13" s="12"/>
      <c r="T13" s="12"/>
      <c r="U13" s="20"/>
    </row>
    <row r="14" spans="1:21" x14ac:dyDescent="0.3">
      <c r="A14" s="240">
        <v>7</v>
      </c>
      <c r="B14" s="148" t="s">
        <v>893</v>
      </c>
      <c r="C14" s="148" t="s">
        <v>894</v>
      </c>
      <c r="D14" s="193" t="s">
        <v>25</v>
      </c>
      <c r="E14" s="240">
        <v>1</v>
      </c>
      <c r="F14" s="240">
        <v>0</v>
      </c>
      <c r="G14" s="240" t="s">
        <v>879</v>
      </c>
      <c r="H14" s="240">
        <v>5</v>
      </c>
      <c r="I14" s="240">
        <v>0</v>
      </c>
      <c r="J14" s="240">
        <v>1</v>
      </c>
      <c r="K14" s="240" t="s">
        <v>868</v>
      </c>
      <c r="L14" s="240" t="s">
        <v>880</v>
      </c>
      <c r="M14" s="12"/>
      <c r="N14" s="12"/>
      <c r="O14" s="12"/>
      <c r="P14" s="12"/>
      <c r="Q14" s="12"/>
      <c r="R14" s="12"/>
      <c r="S14" s="12"/>
      <c r="T14" s="12"/>
      <c r="U14" s="20"/>
    </row>
    <row r="15" spans="1:21" ht="13.4" customHeight="1" thickBot="1" x14ac:dyDescent="0.35">
      <c r="A15" s="5"/>
      <c r="B15" s="5"/>
      <c r="C15" s="5"/>
      <c r="D15" s="5"/>
      <c r="E15" s="5"/>
      <c r="F15" s="5"/>
      <c r="G15" s="5"/>
      <c r="H15" s="5"/>
      <c r="I15" s="5"/>
      <c r="J15" s="3"/>
      <c r="K15" s="3"/>
      <c r="L15" s="3"/>
      <c r="M15" s="3"/>
      <c r="N15" s="3"/>
      <c r="O15" s="5"/>
      <c r="P15" s="5"/>
      <c r="Q15" s="5"/>
      <c r="R15" s="5"/>
      <c r="S15" s="5"/>
      <c r="T15" s="5"/>
      <c r="U15" s="13"/>
    </row>
    <row r="16" spans="1:21" ht="13.4" customHeight="1" thickTop="1" x14ac:dyDescent="0.3">
      <c r="A16" s="121"/>
      <c r="B16" s="121"/>
      <c r="C16" s="121"/>
      <c r="D16" s="121"/>
      <c r="E16" s="121"/>
      <c r="F16" s="121"/>
      <c r="G16" s="121"/>
      <c r="H16" s="121"/>
      <c r="I16" s="121"/>
      <c r="J16" s="87"/>
      <c r="K16" s="87"/>
      <c r="L16" s="87"/>
      <c r="M16" s="87"/>
      <c r="N16" s="87"/>
      <c r="O16" s="121"/>
      <c r="P16" s="121"/>
      <c r="Q16" s="121"/>
      <c r="R16" s="121"/>
      <c r="S16" s="21"/>
      <c r="T16" s="21"/>
      <c r="U16" s="23"/>
    </row>
    <row r="17" spans="1:21" ht="14.65" customHeight="1" x14ac:dyDescent="0.35">
      <c r="A17" s="308" t="s">
        <v>7</v>
      </c>
      <c r="B17" s="306"/>
      <c r="C17" s="306"/>
      <c r="D17" s="306"/>
      <c r="E17" s="306"/>
      <c r="F17" s="306"/>
      <c r="G17" s="306"/>
      <c r="H17" s="306"/>
      <c r="I17" s="306"/>
      <c r="J17" s="306"/>
      <c r="K17" s="306"/>
      <c r="L17" s="306"/>
      <c r="M17" s="306"/>
      <c r="N17" s="306"/>
      <c r="O17" s="306"/>
      <c r="P17" s="306"/>
      <c r="Q17" s="306"/>
      <c r="R17" s="306"/>
      <c r="S17" s="306"/>
      <c r="T17" s="306"/>
      <c r="U17" s="307"/>
    </row>
    <row r="18" spans="1:21" x14ac:dyDescent="0.3">
      <c r="A18" s="233" t="s">
        <v>10</v>
      </c>
      <c r="B18" s="233" t="s">
        <v>11</v>
      </c>
      <c r="C18" s="233" t="s">
        <v>12</v>
      </c>
      <c r="D18" s="233" t="s">
        <v>13</v>
      </c>
      <c r="E18" s="233" t="s">
        <v>14</v>
      </c>
      <c r="F18" s="233" t="s">
        <v>15</v>
      </c>
      <c r="G18" s="233" t="s">
        <v>16</v>
      </c>
      <c r="H18" s="233" t="s">
        <v>17</v>
      </c>
      <c r="I18" s="233" t="s">
        <v>18</v>
      </c>
      <c r="J18" s="233" t="s">
        <v>19</v>
      </c>
      <c r="K18" s="233" t="s">
        <v>20</v>
      </c>
      <c r="L18" s="120" t="s">
        <v>857</v>
      </c>
      <c r="M18" s="120" t="s">
        <v>858</v>
      </c>
      <c r="N18" s="120" t="s">
        <v>859</v>
      </c>
      <c r="O18" s="120" t="s">
        <v>860</v>
      </c>
      <c r="P18" s="120" t="s">
        <v>346</v>
      </c>
      <c r="Q18" s="120" t="s">
        <v>861</v>
      </c>
      <c r="R18" s="120" t="s">
        <v>862</v>
      </c>
      <c r="S18" s="120" t="s">
        <v>863</v>
      </c>
      <c r="T18" s="8" t="s">
        <v>152</v>
      </c>
      <c r="U18" s="8" t="s">
        <v>864</v>
      </c>
    </row>
    <row r="19" spans="1:21" x14ac:dyDescent="0.3">
      <c r="A19" s="241" t="s">
        <v>315</v>
      </c>
      <c r="B19" s="241" t="s">
        <v>27</v>
      </c>
      <c r="C19" s="241">
        <v>0</v>
      </c>
      <c r="D19" s="241" t="s">
        <v>895</v>
      </c>
      <c r="E19" s="241" t="s">
        <v>895</v>
      </c>
      <c r="F19" s="241" t="s">
        <v>896</v>
      </c>
      <c r="G19" s="188" t="s">
        <v>29</v>
      </c>
      <c r="H19" s="241"/>
      <c r="I19" s="241"/>
      <c r="J19" s="241"/>
      <c r="K19" s="7">
        <v>36892</v>
      </c>
      <c r="L19" s="240">
        <v>1000000</v>
      </c>
      <c r="M19" s="241">
        <f>SampleRate_02*0.01</f>
        <v>10000</v>
      </c>
      <c r="N19" s="241" t="s">
        <v>867</v>
      </c>
      <c r="O19" s="241" t="s">
        <v>868</v>
      </c>
      <c r="P19" s="240" t="s">
        <v>869</v>
      </c>
      <c r="Q19" s="189">
        <v>25</v>
      </c>
      <c r="R19" s="241">
        <v>30</v>
      </c>
      <c r="S19" s="241">
        <v>10</v>
      </c>
      <c r="T19" s="241" t="s">
        <v>25</v>
      </c>
      <c r="U19" s="6" t="s">
        <v>25</v>
      </c>
    </row>
    <row r="20" spans="1:21" x14ac:dyDescent="0.3">
      <c r="A20" s="121"/>
      <c r="B20" s="121"/>
      <c r="C20" s="121"/>
      <c r="D20" s="121"/>
      <c r="E20" s="121"/>
      <c r="F20" s="121"/>
      <c r="G20" s="121"/>
      <c r="H20" s="121"/>
      <c r="I20" s="121"/>
      <c r="J20" s="87"/>
      <c r="K20" s="87"/>
      <c r="L20" s="87"/>
      <c r="M20" s="87"/>
      <c r="N20" s="87"/>
      <c r="O20" s="121"/>
      <c r="P20" s="121"/>
      <c r="Q20" s="121"/>
      <c r="R20" s="121"/>
      <c r="S20" s="121"/>
      <c r="T20" s="121"/>
      <c r="U20" s="23"/>
    </row>
    <row r="21" spans="1:21" ht="14.65" customHeight="1" x14ac:dyDescent="0.35">
      <c r="A21" s="308" t="s">
        <v>36</v>
      </c>
      <c r="B21" s="306"/>
      <c r="C21" s="306"/>
      <c r="D21" s="306"/>
      <c r="E21" s="306"/>
      <c r="F21" s="306"/>
      <c r="G21" s="306"/>
      <c r="H21" s="306"/>
      <c r="I21" s="306"/>
      <c r="J21" s="306"/>
      <c r="K21" s="306"/>
      <c r="L21" s="307"/>
      <c r="M21" s="121"/>
      <c r="N21" s="121"/>
      <c r="O21" s="121"/>
      <c r="P21" s="121"/>
      <c r="Q21" s="121"/>
      <c r="R21" s="121"/>
      <c r="S21" s="121"/>
      <c r="T21" s="121"/>
      <c r="U21" s="23"/>
    </row>
    <row r="22" spans="1:21" x14ac:dyDescent="0.3">
      <c r="A22" s="8" t="s">
        <v>13</v>
      </c>
      <c r="B22" s="8" t="s">
        <v>14</v>
      </c>
      <c r="C22" s="8" t="s">
        <v>15</v>
      </c>
      <c r="D22" s="8" t="s">
        <v>16</v>
      </c>
      <c r="E22" s="8" t="s">
        <v>870</v>
      </c>
      <c r="F22" s="8" t="s">
        <v>871</v>
      </c>
      <c r="G22" s="8" t="s">
        <v>176</v>
      </c>
      <c r="H22" s="8" t="s">
        <v>872</v>
      </c>
      <c r="I22" s="8" t="s">
        <v>873</v>
      </c>
      <c r="J22" s="8" t="s">
        <v>874</v>
      </c>
      <c r="K22" s="8" t="s">
        <v>875</v>
      </c>
      <c r="L22" s="8" t="s">
        <v>876</v>
      </c>
      <c r="M22" s="121"/>
      <c r="N22" s="121"/>
      <c r="O22" s="121"/>
      <c r="P22" s="121"/>
      <c r="Q22" s="121"/>
      <c r="R22" s="121"/>
      <c r="S22" s="121"/>
      <c r="T22" s="121"/>
      <c r="U22" s="23"/>
    </row>
    <row r="23" spans="1:21" ht="14.65" customHeight="1" x14ac:dyDescent="0.35">
      <c r="A23" s="241">
        <v>0</v>
      </c>
      <c r="B23" s="146" t="s">
        <v>897</v>
      </c>
      <c r="C23" s="146" t="s">
        <v>898</v>
      </c>
      <c r="D23" s="188" t="s">
        <v>29</v>
      </c>
      <c r="E23" s="241">
        <v>1</v>
      </c>
      <c r="F23" s="241">
        <v>0</v>
      </c>
      <c r="G23" s="241" t="s">
        <v>879</v>
      </c>
      <c r="H23" s="241">
        <v>50</v>
      </c>
      <c r="I23" s="241">
        <v>0</v>
      </c>
      <c r="J23" s="241">
        <v>10</v>
      </c>
      <c r="K23" s="241" t="s">
        <v>868</v>
      </c>
      <c r="L23" s="241" t="s">
        <v>880</v>
      </c>
      <c r="M23" s="121"/>
      <c r="N23" s="121"/>
      <c r="O23" s="121"/>
      <c r="P23" s="121"/>
      <c r="Q23" s="121"/>
      <c r="R23" s="121"/>
      <c r="S23" s="121"/>
      <c r="T23" s="121"/>
      <c r="U23" s="23"/>
    </row>
    <row r="24" spans="1:21" ht="14.65" customHeight="1" x14ac:dyDescent="0.35">
      <c r="A24" s="241">
        <v>1</v>
      </c>
      <c r="B24" s="146" t="s">
        <v>899</v>
      </c>
      <c r="C24" s="146" t="s">
        <v>900</v>
      </c>
      <c r="D24" s="6" t="s">
        <v>25</v>
      </c>
      <c r="E24" s="241">
        <v>1</v>
      </c>
      <c r="F24" s="241">
        <v>0</v>
      </c>
      <c r="G24" s="241" t="s">
        <v>879</v>
      </c>
      <c r="H24" s="241">
        <v>50</v>
      </c>
      <c r="I24" s="241">
        <v>0</v>
      </c>
      <c r="J24" s="241">
        <v>1</v>
      </c>
      <c r="K24" s="241" t="s">
        <v>868</v>
      </c>
      <c r="L24" s="241" t="s">
        <v>880</v>
      </c>
      <c r="M24" s="121"/>
      <c r="N24" s="121"/>
      <c r="O24" s="121"/>
      <c r="P24" s="121"/>
      <c r="Q24" s="121"/>
      <c r="R24" s="121"/>
      <c r="S24" s="121"/>
      <c r="T24" s="121"/>
      <c r="U24" s="23"/>
    </row>
    <row r="25" spans="1:21" ht="14.65" customHeight="1" x14ac:dyDescent="0.35">
      <c r="A25" s="241">
        <v>2</v>
      </c>
      <c r="B25" s="146" t="s">
        <v>901</v>
      </c>
      <c r="C25" s="146" t="s">
        <v>902</v>
      </c>
      <c r="D25" s="188" t="s">
        <v>29</v>
      </c>
      <c r="E25" s="241">
        <v>1</v>
      </c>
      <c r="F25" s="241">
        <v>0</v>
      </c>
      <c r="G25" s="241" t="s">
        <v>879</v>
      </c>
      <c r="H25" s="241">
        <v>50</v>
      </c>
      <c r="I25" s="241">
        <v>0</v>
      </c>
      <c r="J25" s="241">
        <v>10</v>
      </c>
      <c r="K25" s="241" t="s">
        <v>868</v>
      </c>
      <c r="L25" s="241" t="s">
        <v>880</v>
      </c>
      <c r="M25" s="121"/>
      <c r="N25" s="121"/>
      <c r="O25" s="121"/>
      <c r="P25" s="121"/>
      <c r="Q25" s="121"/>
      <c r="R25" s="121"/>
      <c r="S25" s="121"/>
      <c r="T25" s="121"/>
      <c r="U25" s="23"/>
    </row>
    <row r="26" spans="1:21" ht="14.65" customHeight="1" x14ac:dyDescent="0.35">
      <c r="A26" s="241">
        <v>3</v>
      </c>
      <c r="B26" s="146" t="s">
        <v>903</v>
      </c>
      <c r="C26" s="146" t="s">
        <v>904</v>
      </c>
      <c r="D26" s="6" t="s">
        <v>25</v>
      </c>
      <c r="E26" s="241">
        <v>1</v>
      </c>
      <c r="F26" s="241">
        <v>0</v>
      </c>
      <c r="G26" s="241" t="s">
        <v>879</v>
      </c>
      <c r="H26" s="241">
        <v>50</v>
      </c>
      <c r="I26" s="241">
        <v>0</v>
      </c>
      <c r="J26" s="241">
        <v>1</v>
      </c>
      <c r="K26" s="241" t="s">
        <v>868</v>
      </c>
      <c r="L26" s="241" t="s">
        <v>880</v>
      </c>
      <c r="M26" s="121"/>
      <c r="N26" s="121"/>
      <c r="O26" s="121"/>
      <c r="P26" s="121"/>
      <c r="Q26" s="121"/>
      <c r="R26" s="121"/>
      <c r="S26" s="121"/>
      <c r="T26" s="121"/>
      <c r="U26" s="23"/>
    </row>
    <row r="27" spans="1:21" x14ac:dyDescent="0.3">
      <c r="A27" s="241">
        <v>4</v>
      </c>
      <c r="B27" s="8"/>
      <c r="C27" s="8"/>
      <c r="D27" s="6" t="s">
        <v>25</v>
      </c>
      <c r="E27" s="241">
        <v>1</v>
      </c>
      <c r="F27" s="241">
        <v>0</v>
      </c>
      <c r="G27" s="241" t="s">
        <v>879</v>
      </c>
      <c r="H27" s="241">
        <v>30</v>
      </c>
      <c r="I27" s="241">
        <v>0</v>
      </c>
      <c r="J27" s="241">
        <v>1</v>
      </c>
      <c r="K27" s="241" t="s">
        <v>868</v>
      </c>
      <c r="L27" s="241" t="s">
        <v>880</v>
      </c>
      <c r="M27" s="121"/>
      <c r="N27" s="121"/>
      <c r="O27" s="121"/>
      <c r="P27" s="121"/>
      <c r="Q27" s="121"/>
      <c r="R27" s="121"/>
      <c r="S27" s="121"/>
      <c r="T27" s="121"/>
      <c r="U27" s="23"/>
    </row>
    <row r="28" spans="1:21" x14ac:dyDescent="0.3">
      <c r="A28" s="241">
        <v>5</v>
      </c>
      <c r="B28" s="8"/>
      <c r="C28" s="8"/>
      <c r="D28" s="6" t="s">
        <v>25</v>
      </c>
      <c r="E28" s="241">
        <v>1</v>
      </c>
      <c r="F28" s="241">
        <v>0</v>
      </c>
      <c r="G28" s="241" t="s">
        <v>879</v>
      </c>
      <c r="H28" s="241">
        <v>30</v>
      </c>
      <c r="I28" s="241">
        <v>0</v>
      </c>
      <c r="J28" s="241">
        <v>1</v>
      </c>
      <c r="K28" s="241" t="s">
        <v>868</v>
      </c>
      <c r="L28" s="241" t="s">
        <v>880</v>
      </c>
      <c r="M28" s="121"/>
      <c r="N28" s="121"/>
      <c r="O28" s="121"/>
      <c r="P28" s="121"/>
      <c r="Q28" s="121"/>
      <c r="R28" s="121"/>
      <c r="S28" s="121"/>
      <c r="T28" s="121"/>
      <c r="U28" s="23"/>
    </row>
    <row r="29" spans="1:21" x14ac:dyDescent="0.3">
      <c r="A29" s="241">
        <v>6</v>
      </c>
      <c r="B29" s="241" t="s">
        <v>905</v>
      </c>
      <c r="C29" s="241"/>
      <c r="D29" s="6" t="s">
        <v>25</v>
      </c>
      <c r="E29" s="241">
        <v>1</v>
      </c>
      <c r="F29" s="241">
        <v>0</v>
      </c>
      <c r="G29" s="241" t="s">
        <v>879</v>
      </c>
      <c r="H29" s="241">
        <v>30</v>
      </c>
      <c r="I29" s="241">
        <v>0</v>
      </c>
      <c r="J29" s="241">
        <v>1</v>
      </c>
      <c r="K29" s="241" t="s">
        <v>868</v>
      </c>
      <c r="L29" s="241" t="s">
        <v>880</v>
      </c>
      <c r="M29" s="121"/>
      <c r="N29" s="121"/>
      <c r="O29" s="121"/>
      <c r="P29" s="121"/>
      <c r="Q29" s="121"/>
      <c r="R29" s="121"/>
      <c r="S29" s="121"/>
      <c r="T29" s="121"/>
      <c r="U29" s="23"/>
    </row>
    <row r="30" spans="1:21" x14ac:dyDescent="0.3">
      <c r="A30" s="241">
        <v>7</v>
      </c>
      <c r="B30" s="241" t="s">
        <v>906</v>
      </c>
      <c r="C30" s="241"/>
      <c r="D30" s="6" t="s">
        <v>25</v>
      </c>
      <c r="E30" s="241">
        <v>1</v>
      </c>
      <c r="F30" s="241">
        <v>0</v>
      </c>
      <c r="G30" s="241" t="s">
        <v>879</v>
      </c>
      <c r="H30" s="241">
        <v>30</v>
      </c>
      <c r="I30" s="241">
        <v>0</v>
      </c>
      <c r="J30" s="241">
        <v>1</v>
      </c>
      <c r="K30" s="241" t="s">
        <v>868</v>
      </c>
      <c r="L30" s="241" t="s">
        <v>880</v>
      </c>
      <c r="M30" s="121"/>
      <c r="N30" s="121"/>
      <c r="O30" s="121"/>
      <c r="P30" s="121"/>
      <c r="Q30" s="121"/>
      <c r="R30" s="121"/>
      <c r="S30" s="121"/>
      <c r="T30" s="121"/>
      <c r="U30" s="23"/>
    </row>
    <row r="31" spans="1:21" ht="13.4" customHeight="1" thickBot="1" x14ac:dyDescent="0.35">
      <c r="A31" s="9"/>
      <c r="B31" s="9"/>
      <c r="C31" s="9"/>
      <c r="D31" s="9"/>
      <c r="E31" s="9"/>
      <c r="F31" s="9"/>
      <c r="G31" s="9"/>
      <c r="H31" s="9"/>
      <c r="I31" s="9"/>
      <c r="J31" s="122"/>
      <c r="K31" s="122"/>
      <c r="L31" s="122"/>
      <c r="M31" s="122"/>
      <c r="N31" s="122"/>
      <c r="O31" s="9"/>
      <c r="P31" s="9"/>
      <c r="Q31" s="9"/>
      <c r="R31" s="9"/>
      <c r="S31" s="9"/>
      <c r="T31" s="9"/>
      <c r="U31" s="24"/>
    </row>
    <row r="32" spans="1:21" ht="13.4" customHeight="1" thickTop="1" x14ac:dyDescent="0.3">
      <c r="A32" s="12"/>
      <c r="B32" s="12"/>
      <c r="C32" s="12"/>
      <c r="D32" s="12"/>
      <c r="E32" s="12"/>
      <c r="F32" s="12"/>
      <c r="G32" s="12"/>
      <c r="H32" s="12"/>
      <c r="I32" s="12"/>
      <c r="J32" s="52"/>
      <c r="K32" s="52"/>
      <c r="L32" s="52"/>
      <c r="M32" s="52"/>
      <c r="N32" s="52"/>
      <c r="O32" s="12"/>
      <c r="P32" s="12"/>
      <c r="Q32" s="12"/>
      <c r="R32" s="12"/>
      <c r="S32" s="12"/>
      <c r="T32" s="12"/>
      <c r="U32" s="20"/>
    </row>
    <row r="33" spans="1:21" ht="14.65" customHeight="1" x14ac:dyDescent="0.35">
      <c r="A33" s="305" t="s">
        <v>7</v>
      </c>
      <c r="B33" s="306"/>
      <c r="C33" s="306"/>
      <c r="D33" s="306"/>
      <c r="E33" s="306"/>
      <c r="F33" s="306"/>
      <c r="G33" s="306"/>
      <c r="H33" s="306"/>
      <c r="I33" s="306"/>
      <c r="J33" s="306"/>
      <c r="K33" s="306"/>
      <c r="L33" s="306"/>
      <c r="M33" s="306"/>
      <c r="N33" s="306"/>
      <c r="O33" s="306"/>
      <c r="P33" s="306"/>
      <c r="Q33" s="306"/>
      <c r="R33" s="306"/>
      <c r="S33" s="306"/>
      <c r="T33" s="306"/>
      <c r="U33" s="307"/>
    </row>
    <row r="34" spans="1:21" x14ac:dyDescent="0.3">
      <c r="A34" s="59" t="s">
        <v>10</v>
      </c>
      <c r="B34" s="59" t="s">
        <v>11</v>
      </c>
      <c r="C34" s="59" t="s">
        <v>12</v>
      </c>
      <c r="D34" s="59" t="s">
        <v>13</v>
      </c>
      <c r="E34" s="59" t="s">
        <v>14</v>
      </c>
      <c r="F34" s="59" t="s">
        <v>15</v>
      </c>
      <c r="G34" s="59" t="s">
        <v>16</v>
      </c>
      <c r="H34" s="59" t="s">
        <v>17</v>
      </c>
      <c r="I34" s="59" t="s">
        <v>18</v>
      </c>
      <c r="J34" s="59" t="s">
        <v>19</v>
      </c>
      <c r="K34" s="59" t="s">
        <v>20</v>
      </c>
      <c r="L34" s="47" t="s">
        <v>857</v>
      </c>
      <c r="M34" s="47" t="s">
        <v>858</v>
      </c>
      <c r="N34" s="47" t="s">
        <v>859</v>
      </c>
      <c r="O34" s="47" t="s">
        <v>860</v>
      </c>
      <c r="P34" s="47" t="s">
        <v>346</v>
      </c>
      <c r="Q34" s="47" t="s">
        <v>861</v>
      </c>
      <c r="R34" s="47" t="s">
        <v>862</v>
      </c>
      <c r="S34" s="47" t="s">
        <v>863</v>
      </c>
      <c r="T34" s="1" t="s">
        <v>152</v>
      </c>
      <c r="U34" s="1" t="s">
        <v>864</v>
      </c>
    </row>
    <row r="35" spans="1:21" x14ac:dyDescent="0.3">
      <c r="A35" s="240" t="s">
        <v>315</v>
      </c>
      <c r="B35" s="240" t="s">
        <v>27</v>
      </c>
      <c r="C35" s="240">
        <v>0</v>
      </c>
      <c r="D35" s="240" t="s">
        <v>907</v>
      </c>
      <c r="E35" s="240" t="s">
        <v>907</v>
      </c>
      <c r="F35" s="240" t="s">
        <v>908</v>
      </c>
      <c r="G35" s="2" t="s">
        <v>25</v>
      </c>
      <c r="H35" s="240"/>
      <c r="I35" s="240"/>
      <c r="J35" s="240"/>
      <c r="K35" s="10">
        <v>36892</v>
      </c>
      <c r="L35" s="240">
        <v>1000000</v>
      </c>
      <c r="M35" s="241">
        <f>SampleRate_03*0.01</f>
        <v>10000</v>
      </c>
      <c r="N35" s="240" t="s">
        <v>909</v>
      </c>
      <c r="O35" s="240" t="s">
        <v>868</v>
      </c>
      <c r="P35" s="240" t="s">
        <v>869</v>
      </c>
      <c r="Q35" s="240">
        <v>20</v>
      </c>
      <c r="R35" s="240">
        <v>30</v>
      </c>
      <c r="S35" s="240">
        <v>10</v>
      </c>
      <c r="T35" s="2" t="s">
        <v>25</v>
      </c>
      <c r="U35" s="2" t="s">
        <v>25</v>
      </c>
    </row>
    <row r="36" spans="1:21" x14ac:dyDescent="0.3">
      <c r="A36" s="12"/>
      <c r="B36" s="12"/>
      <c r="C36" s="12"/>
      <c r="D36" s="12"/>
      <c r="E36" s="12"/>
      <c r="F36" s="12"/>
      <c r="G36" s="12"/>
      <c r="H36" s="12"/>
      <c r="I36" s="12"/>
      <c r="J36" s="52"/>
      <c r="K36" s="52"/>
      <c r="L36" s="52"/>
      <c r="M36" s="52"/>
      <c r="N36" s="52"/>
      <c r="O36" s="12"/>
      <c r="P36" s="12"/>
      <c r="Q36" s="12"/>
      <c r="R36" s="12"/>
      <c r="S36" s="12"/>
      <c r="T36" s="12"/>
      <c r="U36" s="97"/>
    </row>
    <row r="37" spans="1:21" ht="14.65" customHeight="1" x14ac:dyDescent="0.35">
      <c r="A37" s="314" t="s">
        <v>36</v>
      </c>
      <c r="B37" s="310"/>
      <c r="C37" s="310"/>
      <c r="D37" s="310"/>
      <c r="E37" s="310"/>
      <c r="F37" s="310"/>
      <c r="G37" s="310"/>
      <c r="H37" s="310"/>
      <c r="I37" s="310"/>
      <c r="J37" s="310"/>
      <c r="K37" s="310"/>
      <c r="L37" s="311"/>
      <c r="M37" s="12"/>
      <c r="N37" s="12"/>
      <c r="O37" s="12"/>
      <c r="P37" s="12"/>
      <c r="Q37" s="12"/>
      <c r="R37" s="12"/>
      <c r="S37" s="12"/>
      <c r="T37" s="12"/>
      <c r="U37" s="20"/>
    </row>
    <row r="38" spans="1:21" x14ac:dyDescent="0.3">
      <c r="A38" s="1" t="s">
        <v>13</v>
      </c>
      <c r="B38" s="1" t="s">
        <v>14</v>
      </c>
      <c r="C38" s="1" t="s">
        <v>15</v>
      </c>
      <c r="D38" s="1" t="s">
        <v>16</v>
      </c>
      <c r="E38" s="1" t="s">
        <v>870</v>
      </c>
      <c r="F38" s="1" t="s">
        <v>871</v>
      </c>
      <c r="G38" s="1" t="s">
        <v>176</v>
      </c>
      <c r="H38" s="1" t="s">
        <v>872</v>
      </c>
      <c r="I38" s="1" t="s">
        <v>873</v>
      </c>
      <c r="J38" s="1" t="s">
        <v>874</v>
      </c>
      <c r="K38" s="1" t="s">
        <v>875</v>
      </c>
      <c r="L38" s="1" t="s">
        <v>876</v>
      </c>
      <c r="M38" s="12"/>
      <c r="N38" s="12"/>
      <c r="O38" s="12"/>
      <c r="P38" s="12"/>
      <c r="Q38" s="12"/>
      <c r="R38" s="12"/>
      <c r="S38" s="12"/>
      <c r="T38" s="12"/>
      <c r="U38" s="20"/>
    </row>
    <row r="39" spans="1:21" x14ac:dyDescent="0.3">
      <c r="A39" s="240">
        <v>0</v>
      </c>
      <c r="B39" s="240" t="s">
        <v>910</v>
      </c>
      <c r="C39" s="240"/>
      <c r="D39" s="2" t="s">
        <v>25</v>
      </c>
      <c r="E39" s="240">
        <v>1</v>
      </c>
      <c r="F39" s="240">
        <v>0</v>
      </c>
      <c r="G39" s="240" t="s">
        <v>879</v>
      </c>
      <c r="H39" s="240">
        <v>30</v>
      </c>
      <c r="I39" s="240">
        <v>0</v>
      </c>
      <c r="J39" s="240">
        <v>10</v>
      </c>
      <c r="K39" s="240" t="s">
        <v>868</v>
      </c>
      <c r="L39" s="240" t="s">
        <v>880</v>
      </c>
      <c r="M39" s="12"/>
      <c r="N39" s="12"/>
      <c r="O39" s="12"/>
      <c r="P39" s="12"/>
      <c r="Q39" s="12"/>
      <c r="R39" s="12"/>
      <c r="S39" s="12"/>
      <c r="T39" s="12"/>
      <c r="U39" s="20"/>
    </row>
    <row r="40" spans="1:21" x14ac:dyDescent="0.3">
      <c r="A40" s="240">
        <v>1</v>
      </c>
      <c r="B40" s="240" t="s">
        <v>911</v>
      </c>
      <c r="C40" s="240"/>
      <c r="D40" s="2" t="s">
        <v>25</v>
      </c>
      <c r="E40" s="240">
        <v>1</v>
      </c>
      <c r="F40" s="240">
        <v>0</v>
      </c>
      <c r="G40" s="240" t="s">
        <v>879</v>
      </c>
      <c r="H40" s="240">
        <v>30</v>
      </c>
      <c r="I40" s="240">
        <v>0</v>
      </c>
      <c r="J40" s="240">
        <v>10</v>
      </c>
      <c r="K40" s="240" t="s">
        <v>868</v>
      </c>
      <c r="L40" s="240" t="s">
        <v>880</v>
      </c>
      <c r="M40" s="12"/>
      <c r="N40" s="12"/>
      <c r="O40" s="12"/>
      <c r="P40" s="12"/>
      <c r="Q40" s="12"/>
      <c r="R40" s="12"/>
      <c r="S40" s="12"/>
      <c r="T40" s="12"/>
      <c r="U40" s="20"/>
    </row>
    <row r="41" spans="1:21" x14ac:dyDescent="0.3">
      <c r="A41" s="240">
        <v>2</v>
      </c>
      <c r="B41" s="240" t="s">
        <v>911</v>
      </c>
      <c r="C41" s="240"/>
      <c r="D41" s="2" t="s">
        <v>25</v>
      </c>
      <c r="E41" s="240">
        <v>1</v>
      </c>
      <c r="F41" s="240">
        <v>0</v>
      </c>
      <c r="G41" s="240" t="s">
        <v>879</v>
      </c>
      <c r="H41" s="240">
        <v>30</v>
      </c>
      <c r="I41" s="240">
        <v>0</v>
      </c>
      <c r="J41" s="240">
        <v>10</v>
      </c>
      <c r="K41" s="240" t="s">
        <v>868</v>
      </c>
      <c r="L41" s="240" t="s">
        <v>880</v>
      </c>
      <c r="M41" s="12"/>
      <c r="N41" s="12"/>
      <c r="O41" s="12"/>
      <c r="P41" s="12"/>
      <c r="Q41" s="12"/>
      <c r="R41" s="12"/>
      <c r="S41" s="12"/>
      <c r="T41" s="12"/>
      <c r="U41" s="20"/>
    </row>
    <row r="42" spans="1:21" x14ac:dyDescent="0.3">
      <c r="A42" s="240">
        <v>3</v>
      </c>
      <c r="B42" s="240" t="s">
        <v>911</v>
      </c>
      <c r="C42" s="240"/>
      <c r="D42" s="2" t="s">
        <v>25</v>
      </c>
      <c r="E42" s="240">
        <v>1</v>
      </c>
      <c r="F42" s="240">
        <v>0</v>
      </c>
      <c r="G42" s="240" t="s">
        <v>879</v>
      </c>
      <c r="H42" s="240">
        <v>30</v>
      </c>
      <c r="I42" s="240">
        <v>0</v>
      </c>
      <c r="J42" s="240">
        <v>10</v>
      </c>
      <c r="K42" s="240" t="s">
        <v>868</v>
      </c>
      <c r="L42" s="240" t="s">
        <v>880</v>
      </c>
      <c r="M42" s="12"/>
      <c r="N42" s="12"/>
      <c r="O42" s="12"/>
      <c r="P42" s="12"/>
      <c r="Q42" s="12"/>
      <c r="R42" s="12"/>
      <c r="S42" s="12"/>
      <c r="T42" s="12"/>
      <c r="U42" s="20"/>
    </row>
    <row r="43" spans="1:21" x14ac:dyDescent="0.3">
      <c r="A43" s="240">
        <v>4</v>
      </c>
      <c r="B43" s="240" t="s">
        <v>911</v>
      </c>
      <c r="C43" s="240"/>
      <c r="D43" s="2" t="s">
        <v>25</v>
      </c>
      <c r="E43" s="240">
        <v>1</v>
      </c>
      <c r="F43" s="240">
        <v>0</v>
      </c>
      <c r="G43" s="240" t="s">
        <v>879</v>
      </c>
      <c r="H43" s="240">
        <v>30</v>
      </c>
      <c r="I43" s="240">
        <v>0</v>
      </c>
      <c r="J43" s="240">
        <v>10</v>
      </c>
      <c r="K43" s="240" t="s">
        <v>868</v>
      </c>
      <c r="L43" s="240" t="s">
        <v>880</v>
      </c>
      <c r="M43" s="12"/>
      <c r="N43" s="12"/>
      <c r="O43" s="12"/>
      <c r="P43" s="12"/>
      <c r="Q43" s="12"/>
      <c r="R43" s="12"/>
      <c r="S43" s="12"/>
      <c r="T43" s="12"/>
      <c r="U43" s="20"/>
    </row>
    <row r="44" spans="1:21" x14ac:dyDescent="0.3">
      <c r="A44" s="240">
        <v>5</v>
      </c>
      <c r="B44" s="240" t="s">
        <v>911</v>
      </c>
      <c r="C44" s="240"/>
      <c r="D44" s="2" t="s">
        <v>25</v>
      </c>
      <c r="E44" s="240">
        <v>1</v>
      </c>
      <c r="F44" s="240">
        <v>0</v>
      </c>
      <c r="G44" s="240" t="s">
        <v>879</v>
      </c>
      <c r="H44" s="240">
        <v>30</v>
      </c>
      <c r="I44" s="240">
        <v>0</v>
      </c>
      <c r="J44" s="240">
        <v>10</v>
      </c>
      <c r="K44" s="240" t="s">
        <v>868</v>
      </c>
      <c r="L44" s="240" t="s">
        <v>880</v>
      </c>
      <c r="M44" s="12"/>
      <c r="N44" s="12"/>
      <c r="O44" s="12"/>
      <c r="P44" s="12"/>
      <c r="Q44" s="12"/>
      <c r="R44" s="12"/>
      <c r="S44" s="12"/>
      <c r="T44" s="12"/>
      <c r="U44" s="20"/>
    </row>
    <row r="45" spans="1:21" x14ac:dyDescent="0.3">
      <c r="A45" s="240">
        <v>6</v>
      </c>
      <c r="B45" s="240" t="s">
        <v>910</v>
      </c>
      <c r="C45" s="240"/>
      <c r="D45" s="2" t="s">
        <v>25</v>
      </c>
      <c r="E45" s="240">
        <v>1</v>
      </c>
      <c r="F45" s="240">
        <v>0</v>
      </c>
      <c r="G45" s="240" t="s">
        <v>879</v>
      </c>
      <c r="H45" s="240">
        <v>30</v>
      </c>
      <c r="I45" s="240">
        <v>0</v>
      </c>
      <c r="J45" s="240">
        <v>10</v>
      </c>
      <c r="K45" s="240" t="s">
        <v>868</v>
      </c>
      <c r="L45" s="240" t="s">
        <v>880</v>
      </c>
      <c r="M45" s="12"/>
      <c r="N45" s="12"/>
      <c r="O45" s="12"/>
      <c r="P45" s="12"/>
      <c r="Q45" s="12"/>
      <c r="R45" s="12"/>
      <c r="S45" s="12"/>
      <c r="T45" s="12"/>
      <c r="U45" s="20"/>
    </row>
    <row r="46" spans="1:21" x14ac:dyDescent="0.3">
      <c r="A46" s="240">
        <v>7</v>
      </c>
      <c r="B46" s="240" t="s">
        <v>911</v>
      </c>
      <c r="C46" s="240"/>
      <c r="D46" s="2" t="s">
        <v>25</v>
      </c>
      <c r="E46" s="240">
        <v>1</v>
      </c>
      <c r="F46" s="240">
        <v>0</v>
      </c>
      <c r="G46" s="240" t="s">
        <v>879</v>
      </c>
      <c r="H46" s="240">
        <v>30</v>
      </c>
      <c r="I46" s="240">
        <v>0</v>
      </c>
      <c r="J46" s="240">
        <v>10</v>
      </c>
      <c r="K46" s="240" t="s">
        <v>868</v>
      </c>
      <c r="L46" s="240" t="s">
        <v>880</v>
      </c>
      <c r="M46" s="12"/>
      <c r="N46" s="12"/>
      <c r="O46" s="12"/>
      <c r="P46" s="12"/>
      <c r="Q46" s="12"/>
      <c r="R46" s="12"/>
      <c r="S46" s="12"/>
      <c r="T46" s="12"/>
      <c r="U46" s="20"/>
    </row>
    <row r="47" spans="1:21" ht="13.4" customHeight="1" thickBot="1" x14ac:dyDescent="0.35">
      <c r="A47" s="5"/>
      <c r="B47" s="5"/>
      <c r="C47" s="5"/>
      <c r="D47" s="5"/>
      <c r="E47" s="5"/>
      <c r="F47" s="5"/>
      <c r="G47" s="5"/>
      <c r="H47" s="5"/>
      <c r="I47" s="5"/>
      <c r="J47" s="3"/>
      <c r="K47" s="3"/>
      <c r="L47" s="3"/>
      <c r="M47" s="3"/>
      <c r="N47" s="3"/>
      <c r="O47" s="5"/>
      <c r="P47" s="5"/>
      <c r="Q47" s="5"/>
      <c r="R47" s="5"/>
      <c r="S47" s="5"/>
      <c r="T47" s="5"/>
      <c r="U47" s="13"/>
    </row>
    <row r="48" spans="1:21" ht="13.4" customHeight="1" thickTop="1" x14ac:dyDescent="0.3">
      <c r="A48" s="121"/>
      <c r="B48" s="121"/>
      <c r="C48" s="121"/>
      <c r="D48" s="121"/>
      <c r="E48" s="121"/>
      <c r="F48" s="121"/>
      <c r="G48" s="121"/>
      <c r="H48" s="121"/>
      <c r="I48" s="121"/>
      <c r="J48" s="87"/>
      <c r="K48" s="87"/>
      <c r="L48" s="87"/>
      <c r="M48" s="87"/>
      <c r="N48" s="87"/>
      <c r="O48" s="121"/>
      <c r="P48" s="121"/>
      <c r="Q48" s="121"/>
      <c r="R48" s="121"/>
      <c r="S48" s="21"/>
      <c r="T48" s="21"/>
      <c r="U48" s="23"/>
    </row>
    <row r="49" spans="1:21" ht="14.65" customHeight="1" x14ac:dyDescent="0.35">
      <c r="A49" s="308" t="s">
        <v>7</v>
      </c>
      <c r="B49" s="306"/>
      <c r="C49" s="306"/>
      <c r="D49" s="306"/>
      <c r="E49" s="306"/>
      <c r="F49" s="306"/>
      <c r="G49" s="306"/>
      <c r="H49" s="306"/>
      <c r="I49" s="306"/>
      <c r="J49" s="306"/>
      <c r="K49" s="306"/>
      <c r="L49" s="306"/>
      <c r="M49" s="306"/>
      <c r="N49" s="306"/>
      <c r="O49" s="306"/>
      <c r="P49" s="306"/>
      <c r="Q49" s="306"/>
      <c r="R49" s="306"/>
      <c r="S49" s="306"/>
      <c r="T49" s="306"/>
      <c r="U49" s="307"/>
    </row>
    <row r="50" spans="1:21" x14ac:dyDescent="0.3">
      <c r="A50" s="233" t="s">
        <v>10</v>
      </c>
      <c r="B50" s="233" t="s">
        <v>11</v>
      </c>
      <c r="C50" s="233" t="s">
        <v>12</v>
      </c>
      <c r="D50" s="233" t="s">
        <v>13</v>
      </c>
      <c r="E50" s="233" t="s">
        <v>14</v>
      </c>
      <c r="F50" s="233" t="s">
        <v>15</v>
      </c>
      <c r="G50" s="233" t="s">
        <v>16</v>
      </c>
      <c r="H50" s="233" t="s">
        <v>17</v>
      </c>
      <c r="I50" s="233" t="s">
        <v>18</v>
      </c>
      <c r="J50" s="233" t="s">
        <v>19</v>
      </c>
      <c r="K50" s="233" t="s">
        <v>20</v>
      </c>
      <c r="L50" s="120" t="s">
        <v>857</v>
      </c>
      <c r="M50" s="120" t="s">
        <v>858</v>
      </c>
      <c r="N50" s="120" t="s">
        <v>859</v>
      </c>
      <c r="O50" s="120" t="s">
        <v>860</v>
      </c>
      <c r="P50" s="120" t="s">
        <v>346</v>
      </c>
      <c r="Q50" s="120" t="s">
        <v>861</v>
      </c>
      <c r="R50" s="120" t="s">
        <v>862</v>
      </c>
      <c r="S50" s="120" t="s">
        <v>863</v>
      </c>
      <c r="T50" s="8" t="s">
        <v>152</v>
      </c>
      <c r="U50" s="8" t="s">
        <v>864</v>
      </c>
    </row>
    <row r="51" spans="1:21" x14ac:dyDescent="0.3">
      <c r="A51" s="241" t="s">
        <v>315</v>
      </c>
      <c r="B51" s="241" t="s">
        <v>27</v>
      </c>
      <c r="C51" s="241">
        <v>0</v>
      </c>
      <c r="D51" s="241" t="s">
        <v>912</v>
      </c>
      <c r="E51" s="241" t="s">
        <v>912</v>
      </c>
      <c r="F51" s="241" t="s">
        <v>913</v>
      </c>
      <c r="G51" s="6" t="s">
        <v>25</v>
      </c>
      <c r="H51" s="241"/>
      <c r="I51" s="241"/>
      <c r="J51" s="241"/>
      <c r="K51" s="7">
        <v>36892</v>
      </c>
      <c r="L51" s="240">
        <v>1000000</v>
      </c>
      <c r="M51" s="241">
        <f>SampleRate_04*0.01</f>
        <v>10000</v>
      </c>
      <c r="N51" s="241" t="s">
        <v>909</v>
      </c>
      <c r="O51" s="241" t="s">
        <v>868</v>
      </c>
      <c r="P51" s="241" t="s">
        <v>914</v>
      </c>
      <c r="Q51" s="241">
        <v>20</v>
      </c>
      <c r="R51" s="241">
        <v>30</v>
      </c>
      <c r="S51" s="241">
        <v>10</v>
      </c>
      <c r="T51" s="241" t="s">
        <v>25</v>
      </c>
      <c r="U51" s="6" t="s">
        <v>25</v>
      </c>
    </row>
    <row r="52" spans="1:21" x14ac:dyDescent="0.3">
      <c r="A52" s="121"/>
      <c r="B52" s="121"/>
      <c r="C52" s="121"/>
      <c r="D52" s="121"/>
      <c r="E52" s="121"/>
      <c r="F52" s="121"/>
      <c r="G52" s="121"/>
      <c r="H52" s="121"/>
      <c r="I52" s="121"/>
      <c r="J52" s="87"/>
      <c r="K52" s="87"/>
      <c r="L52" s="87"/>
      <c r="M52" s="87"/>
      <c r="N52" s="87"/>
      <c r="O52" s="121"/>
      <c r="P52" s="121"/>
      <c r="Q52" s="121"/>
      <c r="R52" s="121"/>
      <c r="S52" s="121"/>
      <c r="T52" s="121"/>
      <c r="U52" s="23"/>
    </row>
    <row r="53" spans="1:21" ht="14.65" customHeight="1" x14ac:dyDescent="0.35">
      <c r="A53" s="308" t="s">
        <v>36</v>
      </c>
      <c r="B53" s="306"/>
      <c r="C53" s="306"/>
      <c r="D53" s="306"/>
      <c r="E53" s="306"/>
      <c r="F53" s="306"/>
      <c r="G53" s="306"/>
      <c r="H53" s="306"/>
      <c r="I53" s="306"/>
      <c r="J53" s="306"/>
      <c r="K53" s="306"/>
      <c r="L53" s="307"/>
      <c r="M53" s="121"/>
      <c r="N53" s="121"/>
      <c r="O53" s="121"/>
      <c r="P53" s="121"/>
      <c r="Q53" s="121"/>
      <c r="R53" s="121"/>
      <c r="S53" s="121"/>
      <c r="T53" s="121"/>
      <c r="U53" s="23"/>
    </row>
    <row r="54" spans="1:21" x14ac:dyDescent="0.3">
      <c r="A54" s="8" t="s">
        <v>13</v>
      </c>
      <c r="B54" s="8" t="s">
        <v>14</v>
      </c>
      <c r="C54" s="8" t="s">
        <v>15</v>
      </c>
      <c r="D54" s="8" t="s">
        <v>16</v>
      </c>
      <c r="E54" s="8" t="s">
        <v>870</v>
      </c>
      <c r="F54" s="8" t="s">
        <v>871</v>
      </c>
      <c r="G54" s="8" t="s">
        <v>176</v>
      </c>
      <c r="H54" s="8" t="s">
        <v>872</v>
      </c>
      <c r="I54" s="8" t="s">
        <v>873</v>
      </c>
      <c r="J54" s="8" t="s">
        <v>874</v>
      </c>
      <c r="K54" s="8" t="s">
        <v>875</v>
      </c>
      <c r="L54" s="8" t="s">
        <v>876</v>
      </c>
      <c r="M54" s="121"/>
      <c r="N54" s="121"/>
      <c r="O54" s="121"/>
      <c r="P54" s="121"/>
      <c r="Q54" s="121"/>
      <c r="R54" s="121"/>
      <c r="S54" s="121"/>
      <c r="T54" s="121"/>
      <c r="U54" s="23"/>
    </row>
    <row r="55" spans="1:21" x14ac:dyDescent="0.3">
      <c r="A55" s="241">
        <v>0</v>
      </c>
      <c r="B55" s="242" t="s">
        <v>915</v>
      </c>
      <c r="C55" s="242" t="s">
        <v>916</v>
      </c>
      <c r="D55" s="6" t="s">
        <v>25</v>
      </c>
      <c r="E55" s="241">
        <v>1</v>
      </c>
      <c r="F55" s="241">
        <v>0</v>
      </c>
      <c r="G55" s="241" t="s">
        <v>879</v>
      </c>
      <c r="H55" s="241">
        <v>30</v>
      </c>
      <c r="I55" s="241">
        <v>0</v>
      </c>
      <c r="J55" s="241">
        <v>10</v>
      </c>
      <c r="K55" s="241" t="s">
        <v>868</v>
      </c>
      <c r="L55" s="241" t="s">
        <v>880</v>
      </c>
      <c r="M55" s="121"/>
      <c r="N55" s="121"/>
      <c r="O55" s="121"/>
      <c r="P55" s="121"/>
      <c r="Q55" s="121"/>
      <c r="R55" s="121"/>
      <c r="S55" s="121"/>
      <c r="T55" s="121"/>
      <c r="U55" s="23"/>
    </row>
    <row r="56" spans="1:21" x14ac:dyDescent="0.3">
      <c r="A56" s="241">
        <v>1</v>
      </c>
      <c r="B56" s="242" t="s">
        <v>917</v>
      </c>
      <c r="C56" s="242" t="s">
        <v>918</v>
      </c>
      <c r="D56" s="6" t="s">
        <v>25</v>
      </c>
      <c r="E56" s="241">
        <v>1</v>
      </c>
      <c r="F56" s="241">
        <v>0</v>
      </c>
      <c r="G56" s="241" t="s">
        <v>879</v>
      </c>
      <c r="H56" s="241">
        <v>30</v>
      </c>
      <c r="I56" s="241">
        <v>0</v>
      </c>
      <c r="J56" s="241">
        <v>10</v>
      </c>
      <c r="K56" s="241" t="s">
        <v>868</v>
      </c>
      <c r="L56" s="241" t="s">
        <v>880</v>
      </c>
      <c r="M56" s="121"/>
      <c r="N56" s="121"/>
      <c r="O56" s="121"/>
      <c r="P56" s="121"/>
      <c r="Q56" s="121"/>
      <c r="R56" s="121"/>
      <c r="S56" s="121"/>
      <c r="T56" s="121"/>
      <c r="U56" s="23"/>
    </row>
    <row r="57" spans="1:21" x14ac:dyDescent="0.3">
      <c r="A57" s="241">
        <v>2</v>
      </c>
      <c r="B57" s="241" t="s">
        <v>919</v>
      </c>
      <c r="C57" s="241"/>
      <c r="D57" s="6" t="s">
        <v>25</v>
      </c>
      <c r="E57" s="241">
        <v>1</v>
      </c>
      <c r="F57" s="241">
        <v>0</v>
      </c>
      <c r="G57" s="241" t="s">
        <v>879</v>
      </c>
      <c r="H57" s="241">
        <v>30</v>
      </c>
      <c r="I57" s="241">
        <v>0</v>
      </c>
      <c r="J57" s="241">
        <v>10</v>
      </c>
      <c r="K57" s="241" t="s">
        <v>868</v>
      </c>
      <c r="L57" s="241" t="s">
        <v>880</v>
      </c>
      <c r="M57" s="121"/>
      <c r="N57" s="121"/>
      <c r="O57" s="121"/>
      <c r="P57" s="121"/>
      <c r="Q57" s="121"/>
      <c r="R57" s="121"/>
      <c r="S57" s="121"/>
      <c r="T57" s="121"/>
      <c r="U57" s="23"/>
    </row>
    <row r="58" spans="1:21" x14ac:dyDescent="0.3">
      <c r="A58" s="241">
        <v>3</v>
      </c>
      <c r="B58" s="241" t="s">
        <v>920</v>
      </c>
      <c r="C58" s="241"/>
      <c r="D58" s="6" t="s">
        <v>25</v>
      </c>
      <c r="E58" s="241">
        <v>1</v>
      </c>
      <c r="F58" s="241">
        <v>0</v>
      </c>
      <c r="G58" s="241" t="s">
        <v>879</v>
      </c>
      <c r="H58" s="241">
        <v>30</v>
      </c>
      <c r="I58" s="241">
        <v>0</v>
      </c>
      <c r="J58" s="241">
        <v>10</v>
      </c>
      <c r="K58" s="241" t="s">
        <v>868</v>
      </c>
      <c r="L58" s="241" t="s">
        <v>880</v>
      </c>
      <c r="M58" s="121"/>
      <c r="N58" s="121"/>
      <c r="O58" s="121"/>
      <c r="P58" s="121"/>
      <c r="Q58" s="121"/>
      <c r="R58" s="121"/>
      <c r="S58" s="121"/>
      <c r="T58" s="121"/>
      <c r="U58" s="23"/>
    </row>
    <row r="59" spans="1:21" ht="13.4" customHeight="1" thickBot="1" x14ac:dyDescent="0.35">
      <c r="A59" s="9"/>
      <c r="B59" s="9"/>
      <c r="C59" s="9"/>
      <c r="D59" s="9"/>
      <c r="E59" s="9"/>
      <c r="F59" s="9"/>
      <c r="G59" s="9"/>
      <c r="H59" s="9"/>
      <c r="I59" s="9"/>
      <c r="J59" s="122"/>
      <c r="K59" s="122"/>
      <c r="L59" s="122"/>
      <c r="M59" s="122"/>
      <c r="N59" s="122"/>
      <c r="O59" s="9"/>
      <c r="P59" s="9"/>
      <c r="Q59" s="9"/>
      <c r="R59" s="9"/>
      <c r="S59" s="9"/>
      <c r="T59" s="9"/>
      <c r="U59" s="24"/>
    </row>
    <row r="60" spans="1:21" ht="13.4" customHeight="1" thickTop="1" x14ac:dyDescent="0.3">
      <c r="A60" s="12"/>
      <c r="B60" s="12"/>
      <c r="C60" s="12"/>
      <c r="D60" s="12"/>
      <c r="E60" s="12"/>
      <c r="F60" s="12"/>
      <c r="G60" s="12"/>
      <c r="H60" s="12"/>
      <c r="I60" s="12"/>
      <c r="J60" s="52"/>
      <c r="K60" s="52"/>
      <c r="L60" s="52"/>
      <c r="M60" s="52"/>
      <c r="N60" s="52"/>
      <c r="O60" s="12"/>
      <c r="P60" s="12"/>
      <c r="Q60" s="12"/>
      <c r="R60" s="12"/>
      <c r="S60" s="12"/>
      <c r="T60" s="12"/>
      <c r="U60" s="20"/>
    </row>
    <row r="61" spans="1:21" ht="14.65" customHeight="1" x14ac:dyDescent="0.35">
      <c r="A61" s="305" t="s">
        <v>7</v>
      </c>
      <c r="B61" s="306"/>
      <c r="C61" s="306"/>
      <c r="D61" s="306"/>
      <c r="E61" s="306"/>
      <c r="F61" s="306"/>
      <c r="G61" s="306"/>
      <c r="H61" s="306"/>
      <c r="I61" s="306"/>
      <c r="J61" s="306"/>
      <c r="K61" s="306"/>
      <c r="L61" s="306"/>
      <c r="M61" s="306"/>
      <c r="N61" s="306"/>
      <c r="O61" s="306"/>
      <c r="P61" s="306"/>
      <c r="Q61" s="306"/>
      <c r="R61" s="306"/>
      <c r="S61" s="306"/>
      <c r="T61" s="306"/>
      <c r="U61" s="307"/>
    </row>
    <row r="62" spans="1:21" x14ac:dyDescent="0.3">
      <c r="A62" s="59" t="s">
        <v>10</v>
      </c>
      <c r="B62" s="59" t="s">
        <v>11</v>
      </c>
      <c r="C62" s="59" t="s">
        <v>12</v>
      </c>
      <c r="D62" s="59" t="s">
        <v>13</v>
      </c>
      <c r="E62" s="59" t="s">
        <v>14</v>
      </c>
      <c r="F62" s="59" t="s">
        <v>15</v>
      </c>
      <c r="G62" s="59" t="s">
        <v>16</v>
      </c>
      <c r="H62" s="59" t="s">
        <v>17</v>
      </c>
      <c r="I62" s="59" t="s">
        <v>18</v>
      </c>
      <c r="J62" s="59" t="s">
        <v>19</v>
      </c>
      <c r="K62" s="59" t="s">
        <v>20</v>
      </c>
      <c r="L62" s="47" t="s">
        <v>857</v>
      </c>
      <c r="M62" s="47" t="s">
        <v>858</v>
      </c>
      <c r="N62" s="47" t="s">
        <v>859</v>
      </c>
      <c r="O62" s="47" t="s">
        <v>860</v>
      </c>
      <c r="P62" s="47" t="s">
        <v>346</v>
      </c>
      <c r="Q62" s="47" t="s">
        <v>861</v>
      </c>
      <c r="R62" s="47" t="s">
        <v>862</v>
      </c>
      <c r="S62" s="47" t="s">
        <v>863</v>
      </c>
      <c r="T62" s="1" t="s">
        <v>152</v>
      </c>
      <c r="U62" s="1" t="s">
        <v>864</v>
      </c>
    </row>
    <row r="63" spans="1:21" x14ac:dyDescent="0.3">
      <c r="A63" s="240" t="s">
        <v>315</v>
      </c>
      <c r="B63" s="240" t="s">
        <v>27</v>
      </c>
      <c r="C63" s="240">
        <v>0</v>
      </c>
      <c r="D63" s="240" t="s">
        <v>921</v>
      </c>
      <c r="E63" s="240" t="s">
        <v>921</v>
      </c>
      <c r="F63" s="240" t="s">
        <v>922</v>
      </c>
      <c r="G63" s="188" t="s">
        <v>29</v>
      </c>
      <c r="H63" s="240"/>
      <c r="I63" s="240"/>
      <c r="J63" s="240"/>
      <c r="K63" s="10">
        <v>36892</v>
      </c>
      <c r="L63" s="240">
        <v>25000000</v>
      </c>
      <c r="M63" s="241">
        <f>SampleRate_05*0.01</f>
        <v>250000</v>
      </c>
      <c r="N63" s="240" t="s">
        <v>923</v>
      </c>
      <c r="O63" s="240" t="s">
        <v>868</v>
      </c>
      <c r="P63" s="240" t="s">
        <v>869</v>
      </c>
      <c r="Q63" s="189">
        <v>-2</v>
      </c>
      <c r="R63" s="240">
        <v>30</v>
      </c>
      <c r="S63" s="240">
        <v>10</v>
      </c>
      <c r="T63" s="2" t="s">
        <v>25</v>
      </c>
      <c r="U63" s="2" t="s">
        <v>25</v>
      </c>
    </row>
    <row r="64" spans="1:21" x14ac:dyDescent="0.3">
      <c r="A64" s="12"/>
      <c r="B64" s="12"/>
      <c r="C64" s="12"/>
      <c r="D64" s="12"/>
      <c r="E64" s="12"/>
      <c r="F64" s="12"/>
      <c r="G64" s="12"/>
      <c r="H64" s="12"/>
      <c r="I64" s="12"/>
      <c r="J64" s="52"/>
      <c r="K64" s="52"/>
      <c r="L64" s="52"/>
      <c r="M64" s="52"/>
      <c r="N64" s="52"/>
      <c r="O64" s="12"/>
      <c r="P64" s="12"/>
      <c r="Q64" s="12"/>
      <c r="R64" s="12"/>
      <c r="S64" s="12"/>
      <c r="T64" s="12"/>
      <c r="U64" s="97"/>
    </row>
    <row r="65" spans="1:21" ht="14.65" customHeight="1" x14ac:dyDescent="0.35">
      <c r="A65" s="314" t="s">
        <v>36</v>
      </c>
      <c r="B65" s="310"/>
      <c r="C65" s="310"/>
      <c r="D65" s="310"/>
      <c r="E65" s="310"/>
      <c r="F65" s="310"/>
      <c r="G65" s="310"/>
      <c r="H65" s="310"/>
      <c r="I65" s="310"/>
      <c r="J65" s="310"/>
      <c r="K65" s="310"/>
      <c r="L65" s="311"/>
      <c r="M65" s="12"/>
      <c r="N65" s="12"/>
      <c r="O65" s="12"/>
      <c r="P65" s="12"/>
      <c r="Q65" s="12"/>
      <c r="R65" s="12"/>
      <c r="S65" s="12"/>
      <c r="T65" s="12"/>
      <c r="U65" s="20"/>
    </row>
    <row r="66" spans="1:21" x14ac:dyDescent="0.3">
      <c r="A66" s="1" t="s">
        <v>13</v>
      </c>
      <c r="B66" s="1" t="s">
        <v>14</v>
      </c>
      <c r="C66" s="1" t="s">
        <v>15</v>
      </c>
      <c r="D66" s="1" t="s">
        <v>16</v>
      </c>
      <c r="E66" s="1" t="s">
        <v>870</v>
      </c>
      <c r="F66" s="1" t="s">
        <v>871</v>
      </c>
      <c r="G66" s="1" t="s">
        <v>176</v>
      </c>
      <c r="H66" s="1" t="s">
        <v>872</v>
      </c>
      <c r="I66" s="1" t="s">
        <v>873</v>
      </c>
      <c r="J66" s="1" t="s">
        <v>874</v>
      </c>
      <c r="K66" s="1" t="s">
        <v>875</v>
      </c>
      <c r="L66" s="1" t="s">
        <v>876</v>
      </c>
      <c r="M66" s="12"/>
      <c r="N66" s="12"/>
      <c r="O66" s="12"/>
      <c r="P66" s="12"/>
      <c r="Q66" s="12"/>
      <c r="R66" s="12"/>
      <c r="S66" s="12"/>
      <c r="T66" s="12"/>
      <c r="U66" s="20"/>
    </row>
    <row r="67" spans="1:21" x14ac:dyDescent="0.3">
      <c r="A67" s="240">
        <v>0</v>
      </c>
      <c r="B67" s="189" t="s">
        <v>924</v>
      </c>
      <c r="C67" s="240" t="s">
        <v>925</v>
      </c>
      <c r="D67" s="2" t="s">
        <v>29</v>
      </c>
      <c r="E67" s="240">
        <v>1</v>
      </c>
      <c r="F67" s="240">
        <v>0</v>
      </c>
      <c r="G67" s="240" t="s">
        <v>879</v>
      </c>
      <c r="H67" s="240">
        <v>30</v>
      </c>
      <c r="I67" s="240">
        <v>0</v>
      </c>
      <c r="J67" s="240">
        <v>10</v>
      </c>
      <c r="K67" s="240" t="s">
        <v>868</v>
      </c>
      <c r="L67" s="240" t="s">
        <v>880</v>
      </c>
      <c r="M67" s="12"/>
      <c r="N67" s="12"/>
      <c r="O67" s="12"/>
      <c r="P67" s="12"/>
      <c r="Q67" s="12"/>
      <c r="R67" s="12"/>
      <c r="S67" s="12"/>
      <c r="T67" s="12"/>
      <c r="U67" s="20"/>
    </row>
    <row r="68" spans="1:21" x14ac:dyDescent="0.3">
      <c r="A68" s="240">
        <v>1</v>
      </c>
      <c r="B68" s="240" t="s">
        <v>926</v>
      </c>
      <c r="C68" s="240"/>
      <c r="D68" s="2" t="s">
        <v>25</v>
      </c>
      <c r="E68" s="240">
        <v>1</v>
      </c>
      <c r="F68" s="240">
        <v>0</v>
      </c>
      <c r="G68" s="240" t="s">
        <v>879</v>
      </c>
      <c r="H68" s="240">
        <v>30</v>
      </c>
      <c r="I68" s="240">
        <v>0</v>
      </c>
      <c r="J68" s="240">
        <v>10</v>
      </c>
      <c r="K68" s="240" t="s">
        <v>868</v>
      </c>
      <c r="L68" s="240" t="s">
        <v>880</v>
      </c>
      <c r="M68" s="12"/>
      <c r="N68" s="12"/>
      <c r="O68" s="12"/>
      <c r="P68" s="12"/>
      <c r="Q68" s="12"/>
      <c r="R68" s="12"/>
      <c r="S68" s="12"/>
      <c r="T68" s="12"/>
      <c r="U68" s="20"/>
    </row>
    <row r="69" spans="1:21" ht="13.4" customHeight="1" thickBot="1" x14ac:dyDescent="0.35">
      <c r="A69" s="5"/>
      <c r="B69" s="5"/>
      <c r="C69" s="5"/>
      <c r="D69" s="5"/>
      <c r="E69" s="5"/>
      <c r="F69" s="5"/>
      <c r="G69" s="5"/>
      <c r="H69" s="5"/>
      <c r="I69" s="5"/>
      <c r="J69" s="3"/>
      <c r="K69" s="3"/>
      <c r="L69" s="3"/>
      <c r="M69" s="3"/>
      <c r="N69" s="3"/>
      <c r="O69" s="5"/>
      <c r="P69" s="5"/>
      <c r="Q69" s="5"/>
      <c r="R69" s="5"/>
      <c r="S69" s="5"/>
      <c r="T69" s="5"/>
      <c r="U69" s="13"/>
    </row>
    <row r="70" spans="1:21" ht="13.4" customHeight="1" thickTop="1" x14ac:dyDescent="0.3">
      <c r="A70" s="121"/>
      <c r="B70" s="121"/>
      <c r="C70" s="121"/>
      <c r="D70" s="121"/>
      <c r="E70" s="121"/>
      <c r="F70" s="121"/>
      <c r="G70" s="121"/>
      <c r="H70" s="121"/>
      <c r="I70" s="121"/>
      <c r="J70" s="87"/>
      <c r="K70" s="87"/>
      <c r="L70" s="87"/>
      <c r="M70" s="87"/>
      <c r="N70" s="87"/>
      <c r="O70" s="121"/>
      <c r="P70" s="121"/>
      <c r="Q70" s="121"/>
      <c r="R70" s="121"/>
      <c r="S70" s="21"/>
      <c r="T70" s="21"/>
      <c r="U70" s="23"/>
    </row>
    <row r="71" spans="1:21" ht="14.65" customHeight="1" x14ac:dyDescent="0.35">
      <c r="A71" s="308" t="s">
        <v>7</v>
      </c>
      <c r="B71" s="306"/>
      <c r="C71" s="306"/>
      <c r="D71" s="306"/>
      <c r="E71" s="306"/>
      <c r="F71" s="306"/>
      <c r="G71" s="306"/>
      <c r="H71" s="306"/>
      <c r="I71" s="306"/>
      <c r="J71" s="306"/>
      <c r="K71" s="306"/>
      <c r="L71" s="306"/>
      <c r="M71" s="306"/>
      <c r="N71" s="306"/>
      <c r="O71" s="306"/>
      <c r="P71" s="306"/>
      <c r="Q71" s="306"/>
      <c r="R71" s="306"/>
      <c r="S71" s="306"/>
      <c r="T71" s="306"/>
      <c r="U71" s="307"/>
    </row>
    <row r="72" spans="1:21" x14ac:dyDescent="0.3">
      <c r="A72" s="233" t="s">
        <v>10</v>
      </c>
      <c r="B72" s="233" t="s">
        <v>11</v>
      </c>
      <c r="C72" s="233" t="s">
        <v>12</v>
      </c>
      <c r="D72" s="233" t="s">
        <v>13</v>
      </c>
      <c r="E72" s="233" t="s">
        <v>14</v>
      </c>
      <c r="F72" s="233" t="s">
        <v>15</v>
      </c>
      <c r="G72" s="233" t="s">
        <v>16</v>
      </c>
      <c r="H72" s="233" t="s">
        <v>17</v>
      </c>
      <c r="I72" s="233" t="s">
        <v>18</v>
      </c>
      <c r="J72" s="233" t="s">
        <v>19</v>
      </c>
      <c r="K72" s="233" t="s">
        <v>20</v>
      </c>
      <c r="L72" s="120" t="s">
        <v>857</v>
      </c>
      <c r="M72" s="120" t="s">
        <v>858</v>
      </c>
      <c r="N72" s="120" t="s">
        <v>859</v>
      </c>
      <c r="O72" s="120" t="s">
        <v>860</v>
      </c>
      <c r="P72" s="120" t="s">
        <v>346</v>
      </c>
      <c r="Q72" s="120" t="s">
        <v>861</v>
      </c>
      <c r="R72" s="120" t="s">
        <v>862</v>
      </c>
      <c r="S72" s="120" t="s">
        <v>863</v>
      </c>
      <c r="T72" s="8" t="s">
        <v>152</v>
      </c>
      <c r="U72" s="8" t="s">
        <v>864</v>
      </c>
    </row>
    <row r="73" spans="1:21" x14ac:dyDescent="0.3">
      <c r="A73" s="241" t="s">
        <v>315</v>
      </c>
      <c r="B73" s="241" t="s">
        <v>27</v>
      </c>
      <c r="C73" s="241">
        <v>0</v>
      </c>
      <c r="D73" s="241" t="s">
        <v>927</v>
      </c>
      <c r="E73" s="241" t="s">
        <v>927</v>
      </c>
      <c r="F73" s="241" t="s">
        <v>928</v>
      </c>
      <c r="G73" s="6" t="s">
        <v>25</v>
      </c>
      <c r="H73" s="241"/>
      <c r="I73" s="241"/>
      <c r="J73" s="241"/>
      <c r="K73" s="7">
        <v>36892</v>
      </c>
      <c r="L73" s="240">
        <v>1000000</v>
      </c>
      <c r="M73" s="241">
        <f>SampleRate_06*0.01</f>
        <v>10000</v>
      </c>
      <c r="N73" s="241" t="s">
        <v>909</v>
      </c>
      <c r="O73" s="241" t="s">
        <v>868</v>
      </c>
      <c r="P73" s="241" t="s">
        <v>914</v>
      </c>
      <c r="Q73" s="241">
        <v>20</v>
      </c>
      <c r="R73" s="241">
        <v>30</v>
      </c>
      <c r="S73" s="241">
        <v>10</v>
      </c>
      <c r="T73" s="241" t="s">
        <v>25</v>
      </c>
      <c r="U73" s="6" t="s">
        <v>25</v>
      </c>
    </row>
    <row r="74" spans="1:21" x14ac:dyDescent="0.3">
      <c r="A74" s="121"/>
      <c r="B74" s="121"/>
      <c r="C74" s="121"/>
      <c r="D74" s="121"/>
      <c r="E74" s="121"/>
      <c r="F74" s="121"/>
      <c r="G74" s="121"/>
      <c r="H74" s="121"/>
      <c r="I74" s="121"/>
      <c r="J74" s="87"/>
      <c r="K74" s="87"/>
      <c r="L74" s="87"/>
      <c r="M74" s="87"/>
      <c r="N74" s="87"/>
      <c r="O74" s="121"/>
      <c r="P74" s="121"/>
      <c r="Q74" s="121"/>
      <c r="R74" s="121"/>
      <c r="S74" s="121"/>
      <c r="T74" s="121"/>
      <c r="U74" s="23"/>
    </row>
    <row r="75" spans="1:21" ht="14.65" customHeight="1" x14ac:dyDescent="0.35">
      <c r="A75" s="308" t="s">
        <v>36</v>
      </c>
      <c r="B75" s="306"/>
      <c r="C75" s="306"/>
      <c r="D75" s="306"/>
      <c r="E75" s="306"/>
      <c r="F75" s="306"/>
      <c r="G75" s="306"/>
      <c r="H75" s="306"/>
      <c r="I75" s="306"/>
      <c r="J75" s="306"/>
      <c r="K75" s="306"/>
      <c r="L75" s="307"/>
      <c r="M75" s="121"/>
      <c r="N75" s="121"/>
      <c r="O75" s="121"/>
      <c r="P75" s="121"/>
      <c r="Q75" s="121"/>
      <c r="R75" s="121"/>
      <c r="S75" s="121"/>
      <c r="T75" s="121"/>
      <c r="U75" s="23"/>
    </row>
    <row r="76" spans="1:21" x14ac:dyDescent="0.3">
      <c r="A76" s="8" t="s">
        <v>13</v>
      </c>
      <c r="B76" s="8" t="s">
        <v>14</v>
      </c>
      <c r="C76" s="8" t="s">
        <v>15</v>
      </c>
      <c r="D76" s="8" t="s">
        <v>16</v>
      </c>
      <c r="E76" s="8" t="s">
        <v>870</v>
      </c>
      <c r="F76" s="8" t="s">
        <v>871</v>
      </c>
      <c r="G76" s="8" t="s">
        <v>176</v>
      </c>
      <c r="H76" s="8" t="s">
        <v>872</v>
      </c>
      <c r="I76" s="8" t="s">
        <v>873</v>
      </c>
      <c r="J76" s="8" t="s">
        <v>874</v>
      </c>
      <c r="K76" s="8" t="s">
        <v>875</v>
      </c>
      <c r="L76" s="8" t="s">
        <v>876</v>
      </c>
      <c r="M76" s="121"/>
      <c r="N76" s="121"/>
      <c r="O76" s="121"/>
      <c r="P76" s="121"/>
      <c r="Q76" s="121"/>
      <c r="R76" s="121"/>
      <c r="S76" s="121"/>
      <c r="T76" s="121"/>
      <c r="U76" s="23"/>
    </row>
    <row r="77" spans="1:21" x14ac:dyDescent="0.3">
      <c r="A77" s="241">
        <v>0</v>
      </c>
      <c r="B77" s="241" t="s">
        <v>929</v>
      </c>
      <c r="C77" s="241"/>
      <c r="D77" s="6" t="s">
        <v>25</v>
      </c>
      <c r="E77" s="241">
        <v>1</v>
      </c>
      <c r="F77" s="241">
        <v>0</v>
      </c>
      <c r="G77" s="241" t="s">
        <v>879</v>
      </c>
      <c r="H77" s="241">
        <v>30</v>
      </c>
      <c r="I77" s="241">
        <v>0</v>
      </c>
      <c r="J77" s="241">
        <v>10</v>
      </c>
      <c r="K77" s="241" t="s">
        <v>868</v>
      </c>
      <c r="L77" s="241" t="s">
        <v>880</v>
      </c>
      <c r="M77" s="121"/>
      <c r="N77" s="121"/>
      <c r="O77" s="121"/>
      <c r="P77" s="121"/>
      <c r="Q77" s="121"/>
      <c r="R77" s="121"/>
      <c r="S77" s="121"/>
      <c r="T77" s="121"/>
      <c r="U77" s="23"/>
    </row>
    <row r="78" spans="1:21" x14ac:dyDescent="0.3">
      <c r="A78" s="241">
        <v>1</v>
      </c>
      <c r="B78" s="241" t="s">
        <v>930</v>
      </c>
      <c r="C78" s="241"/>
      <c r="D78" s="6" t="s">
        <v>25</v>
      </c>
      <c r="E78" s="241">
        <v>1</v>
      </c>
      <c r="F78" s="241">
        <v>0</v>
      </c>
      <c r="G78" s="241" t="s">
        <v>879</v>
      </c>
      <c r="H78" s="241">
        <v>30</v>
      </c>
      <c r="I78" s="241">
        <v>0</v>
      </c>
      <c r="J78" s="241">
        <v>10</v>
      </c>
      <c r="K78" s="241" t="s">
        <v>868</v>
      </c>
      <c r="L78" s="241" t="s">
        <v>880</v>
      </c>
      <c r="M78" s="121"/>
      <c r="N78" s="121"/>
      <c r="O78" s="121"/>
      <c r="P78" s="121"/>
      <c r="Q78" s="121"/>
      <c r="R78" s="121"/>
      <c r="S78" s="121"/>
      <c r="T78" s="121"/>
      <c r="U78" s="23"/>
    </row>
    <row r="79" spans="1:21" x14ac:dyDescent="0.3">
      <c r="A79" s="241">
        <v>2</v>
      </c>
      <c r="B79" s="241" t="s">
        <v>929</v>
      </c>
      <c r="C79" s="241"/>
      <c r="D79" s="6" t="s">
        <v>25</v>
      </c>
      <c r="E79" s="241">
        <v>1</v>
      </c>
      <c r="F79" s="241">
        <v>0</v>
      </c>
      <c r="G79" s="241" t="s">
        <v>879</v>
      </c>
      <c r="H79" s="241">
        <v>30</v>
      </c>
      <c r="I79" s="241">
        <v>0</v>
      </c>
      <c r="J79" s="241">
        <v>10</v>
      </c>
      <c r="K79" s="241" t="s">
        <v>868</v>
      </c>
      <c r="L79" s="241" t="s">
        <v>880</v>
      </c>
      <c r="M79" s="121"/>
      <c r="N79" s="121"/>
      <c r="O79" s="121"/>
      <c r="P79" s="121"/>
      <c r="Q79" s="121"/>
      <c r="R79" s="121"/>
      <c r="S79" s="121"/>
      <c r="T79" s="121"/>
      <c r="U79" s="23"/>
    </row>
    <row r="80" spans="1:21" x14ac:dyDescent="0.3">
      <c r="A80" s="241">
        <v>3</v>
      </c>
      <c r="B80" s="241" t="s">
        <v>930</v>
      </c>
      <c r="C80" s="241"/>
      <c r="D80" s="6" t="s">
        <v>25</v>
      </c>
      <c r="E80" s="241">
        <v>1</v>
      </c>
      <c r="F80" s="241">
        <v>0</v>
      </c>
      <c r="G80" s="241" t="s">
        <v>879</v>
      </c>
      <c r="H80" s="241">
        <v>30</v>
      </c>
      <c r="I80" s="241">
        <v>0</v>
      </c>
      <c r="J80" s="241">
        <v>10</v>
      </c>
      <c r="K80" s="241" t="s">
        <v>868</v>
      </c>
      <c r="L80" s="241" t="s">
        <v>880</v>
      </c>
      <c r="M80" s="121"/>
      <c r="N80" s="121"/>
      <c r="O80" s="121"/>
      <c r="P80" s="121"/>
      <c r="Q80" s="121"/>
      <c r="R80" s="121"/>
      <c r="S80" s="121"/>
      <c r="T80" s="121"/>
      <c r="U80" s="23"/>
    </row>
    <row r="81" spans="1:22" ht="13.4" customHeight="1" thickBot="1" x14ac:dyDescent="0.35">
      <c r="A81" s="9"/>
      <c r="B81" s="9"/>
      <c r="C81" s="9"/>
      <c r="D81" s="9"/>
      <c r="E81" s="9"/>
      <c r="F81" s="9"/>
      <c r="G81" s="9"/>
      <c r="H81" s="9"/>
      <c r="I81" s="9"/>
      <c r="J81" s="122"/>
      <c r="K81" s="122"/>
      <c r="L81" s="122"/>
      <c r="M81" s="122"/>
      <c r="N81" s="122"/>
      <c r="O81" s="9"/>
      <c r="P81" s="9"/>
      <c r="Q81" s="9"/>
      <c r="R81" s="9"/>
      <c r="S81" s="9"/>
      <c r="T81" s="9"/>
      <c r="U81" s="24"/>
    </row>
    <row r="82" spans="1:22" ht="13.4" customHeight="1" thickTop="1" x14ac:dyDescent="0.35">
      <c r="A82" s="346" t="s">
        <v>7</v>
      </c>
      <c r="B82" s="347"/>
      <c r="C82" s="347"/>
      <c r="D82" s="347"/>
      <c r="E82" s="347"/>
      <c r="F82" s="347"/>
      <c r="G82" s="347"/>
      <c r="H82" s="347"/>
      <c r="I82" s="347"/>
      <c r="J82" s="347"/>
      <c r="K82" s="347"/>
      <c r="L82" s="347"/>
      <c r="M82" s="347"/>
      <c r="N82" s="347"/>
      <c r="O82" s="347"/>
      <c r="P82" s="347"/>
      <c r="Q82" s="347"/>
      <c r="R82" s="347"/>
      <c r="S82" s="347"/>
      <c r="T82" s="347"/>
      <c r="U82" s="347"/>
    </row>
    <row r="83" spans="1:22" ht="14.65" customHeight="1" x14ac:dyDescent="0.35">
      <c r="A83" s="305" t="s">
        <v>7</v>
      </c>
      <c r="B83" s="306"/>
      <c r="C83" s="306"/>
      <c r="D83" s="306"/>
      <c r="E83" s="306"/>
      <c r="F83" s="306"/>
      <c r="G83" s="306"/>
      <c r="H83" s="306"/>
      <c r="I83" s="306"/>
      <c r="J83" s="306"/>
      <c r="K83" s="306"/>
      <c r="L83" s="306"/>
      <c r="M83" s="306"/>
      <c r="N83" s="306"/>
      <c r="O83" s="306"/>
      <c r="P83" s="306"/>
      <c r="Q83" s="306"/>
      <c r="R83" s="306"/>
      <c r="S83" s="306"/>
      <c r="T83" s="306"/>
      <c r="U83" s="307"/>
      <c r="V83" s="12"/>
    </row>
    <row r="84" spans="1:22" x14ac:dyDescent="0.3">
      <c r="A84" s="36" t="s">
        <v>10</v>
      </c>
      <c r="B84" s="36" t="s">
        <v>11</v>
      </c>
      <c r="C84" s="36" t="s">
        <v>12</v>
      </c>
      <c r="D84" s="36" t="s">
        <v>13</v>
      </c>
      <c r="E84" s="36" t="s">
        <v>14</v>
      </c>
      <c r="F84" s="36" t="s">
        <v>15</v>
      </c>
      <c r="G84" s="36" t="s">
        <v>16</v>
      </c>
      <c r="H84" s="36" t="s">
        <v>17</v>
      </c>
      <c r="I84" s="36" t="s">
        <v>18</v>
      </c>
      <c r="J84" s="36" t="s">
        <v>19</v>
      </c>
      <c r="K84" s="36" t="s">
        <v>20</v>
      </c>
      <c r="L84" s="123" t="s">
        <v>857</v>
      </c>
      <c r="M84" s="123" t="s">
        <v>858</v>
      </c>
      <c r="N84" s="37" t="s">
        <v>859</v>
      </c>
      <c r="O84" s="123" t="s">
        <v>860</v>
      </c>
      <c r="P84" s="123" t="s">
        <v>346</v>
      </c>
      <c r="Q84" s="123" t="s">
        <v>861</v>
      </c>
      <c r="R84" s="123" t="s">
        <v>862</v>
      </c>
      <c r="S84" s="123" t="s">
        <v>863</v>
      </c>
      <c r="T84" s="37" t="s">
        <v>152</v>
      </c>
      <c r="U84" s="1" t="s">
        <v>864</v>
      </c>
      <c r="V84" s="38"/>
    </row>
    <row r="85" spans="1:22" x14ac:dyDescent="0.3">
      <c r="A85" s="240" t="s">
        <v>931</v>
      </c>
      <c r="B85" s="240" t="s">
        <v>159</v>
      </c>
      <c r="C85" s="240">
        <v>0</v>
      </c>
      <c r="D85" s="240" t="s">
        <v>932</v>
      </c>
      <c r="E85" s="240" t="s">
        <v>933</v>
      </c>
      <c r="F85" s="240" t="s">
        <v>934</v>
      </c>
      <c r="G85" s="188" t="s">
        <v>25</v>
      </c>
      <c r="H85" s="240" t="s">
        <v>933</v>
      </c>
      <c r="I85" s="240">
        <v>222</v>
      </c>
      <c r="J85" s="240">
        <v>10222</v>
      </c>
      <c r="K85" s="10">
        <v>36892</v>
      </c>
      <c r="L85" s="240">
        <v>100000000</v>
      </c>
      <c r="M85" s="192">
        <f>0.0001*SampleRate_07</f>
        <v>10000</v>
      </c>
      <c r="N85" s="2" t="s">
        <v>867</v>
      </c>
      <c r="O85" s="240" t="s">
        <v>868</v>
      </c>
      <c r="P85" s="189" t="s">
        <v>935</v>
      </c>
      <c r="Q85" s="240">
        <v>1</v>
      </c>
      <c r="R85" s="240"/>
      <c r="S85" s="240">
        <v>10</v>
      </c>
      <c r="T85" s="2" t="s">
        <v>25</v>
      </c>
      <c r="U85" s="2" t="s">
        <v>25</v>
      </c>
      <c r="V85" s="124"/>
    </row>
    <row r="86" spans="1:22" x14ac:dyDescent="0.3">
      <c r="A86" s="12"/>
      <c r="B86" s="12"/>
      <c r="C86" s="12"/>
      <c r="D86" s="12"/>
      <c r="E86" s="12"/>
      <c r="F86" s="12"/>
      <c r="G86" s="12"/>
      <c r="H86" s="12"/>
      <c r="I86" s="12"/>
      <c r="J86" s="52"/>
      <c r="K86" s="52"/>
      <c r="L86" s="52"/>
      <c r="M86" s="52" t="s">
        <v>936</v>
      </c>
      <c r="N86" s="52"/>
      <c r="O86" s="12"/>
      <c r="P86" s="12"/>
      <c r="Q86" s="12"/>
      <c r="R86" s="12"/>
      <c r="S86" s="12"/>
      <c r="T86" s="52"/>
      <c r="U86" s="52"/>
      <c r="V86" s="11"/>
    </row>
    <row r="87" spans="1:22" ht="14.65" customHeight="1" x14ac:dyDescent="0.35">
      <c r="A87" s="305" t="s">
        <v>36</v>
      </c>
      <c r="B87" s="306"/>
      <c r="C87" s="306"/>
      <c r="D87" s="306"/>
      <c r="E87" s="306"/>
      <c r="F87" s="306"/>
      <c r="G87" s="306"/>
      <c r="H87" s="306"/>
      <c r="I87" s="306"/>
      <c r="J87" s="306"/>
      <c r="K87" s="306"/>
      <c r="L87" s="307"/>
      <c r="M87" s="12"/>
      <c r="N87" s="52"/>
      <c r="O87" s="12"/>
      <c r="P87" s="12"/>
      <c r="Q87" s="12"/>
      <c r="R87" s="12"/>
      <c r="S87" s="12"/>
      <c r="T87" s="52"/>
      <c r="U87" s="52"/>
      <c r="V87" s="11"/>
    </row>
    <row r="88" spans="1:22" x14ac:dyDescent="0.3">
      <c r="A88" s="1" t="s">
        <v>13</v>
      </c>
      <c r="B88" s="1" t="s">
        <v>14</v>
      </c>
      <c r="C88" s="1" t="s">
        <v>15</v>
      </c>
      <c r="D88" s="1" t="s">
        <v>16</v>
      </c>
      <c r="E88" s="1" t="s">
        <v>870</v>
      </c>
      <c r="F88" s="1" t="s">
        <v>871</v>
      </c>
      <c r="G88" s="1" t="s">
        <v>176</v>
      </c>
      <c r="H88" s="1" t="s">
        <v>872</v>
      </c>
      <c r="I88" s="1" t="s">
        <v>873</v>
      </c>
      <c r="J88" s="1" t="s">
        <v>874</v>
      </c>
      <c r="K88" s="1" t="s">
        <v>875</v>
      </c>
      <c r="L88" s="1" t="s">
        <v>876</v>
      </c>
      <c r="M88" s="12"/>
      <c r="N88" s="52"/>
      <c r="O88" s="12"/>
      <c r="P88" s="12"/>
      <c r="Q88" s="12"/>
      <c r="R88" s="12"/>
      <c r="S88" s="12"/>
      <c r="T88" s="52"/>
      <c r="U88" s="52"/>
      <c r="V88" s="11"/>
    </row>
    <row r="89" spans="1:22" x14ac:dyDescent="0.3">
      <c r="A89" s="240" t="s">
        <v>937</v>
      </c>
      <c r="B89" s="186" t="s">
        <v>938</v>
      </c>
      <c r="C89" s="190" t="s">
        <v>939</v>
      </c>
      <c r="D89" s="188" t="s">
        <v>29</v>
      </c>
      <c r="E89" s="240">
        <v>1</v>
      </c>
      <c r="F89" s="240">
        <v>0</v>
      </c>
      <c r="G89" s="240" t="s">
        <v>879</v>
      </c>
      <c r="H89" s="240">
        <v>8</v>
      </c>
      <c r="I89" s="240">
        <v>0</v>
      </c>
      <c r="J89" s="240">
        <v>5</v>
      </c>
      <c r="K89" s="240" t="s">
        <v>868</v>
      </c>
      <c r="L89" s="240">
        <v>50</v>
      </c>
      <c r="M89" s="12"/>
      <c r="N89" s="52"/>
      <c r="O89" s="12"/>
      <c r="P89" s="12"/>
      <c r="Q89" s="12"/>
      <c r="R89" s="12"/>
      <c r="S89" s="12"/>
      <c r="T89" s="52"/>
      <c r="U89" s="52"/>
      <c r="V89" s="11"/>
    </row>
    <row r="90" spans="1:22" x14ac:dyDescent="0.3">
      <c r="A90" s="240" t="s">
        <v>940</v>
      </c>
      <c r="B90" s="186" t="s">
        <v>941</v>
      </c>
      <c r="C90" s="190" t="s">
        <v>942</v>
      </c>
      <c r="D90" s="188" t="s">
        <v>29</v>
      </c>
      <c r="E90" s="240">
        <v>1</v>
      </c>
      <c r="F90" s="240">
        <v>0</v>
      </c>
      <c r="G90" s="240" t="s">
        <v>879</v>
      </c>
      <c r="H90" s="240">
        <v>8</v>
      </c>
      <c r="I90" s="240">
        <v>0</v>
      </c>
      <c r="J90" s="240">
        <v>5</v>
      </c>
      <c r="K90" s="240" t="s">
        <v>868</v>
      </c>
      <c r="L90" s="240">
        <v>50</v>
      </c>
      <c r="M90" s="12"/>
      <c r="N90" s="52"/>
      <c r="O90" s="12"/>
      <c r="P90" s="12"/>
      <c r="Q90" s="12"/>
      <c r="R90" s="12"/>
      <c r="S90" s="12"/>
      <c r="T90" s="52"/>
      <c r="U90" s="52"/>
      <c r="V90" s="11"/>
    </row>
    <row r="91" spans="1:22" ht="12" customHeight="1" x14ac:dyDescent="0.3">
      <c r="A91" s="240" t="s">
        <v>935</v>
      </c>
      <c r="B91" s="186" t="s">
        <v>943</v>
      </c>
      <c r="C91" s="190" t="s">
        <v>944</v>
      </c>
      <c r="D91" s="188" t="s">
        <v>25</v>
      </c>
      <c r="E91" s="240">
        <v>1</v>
      </c>
      <c r="F91" s="240">
        <v>0</v>
      </c>
      <c r="G91" s="240" t="s">
        <v>879</v>
      </c>
      <c r="H91" s="240">
        <v>8</v>
      </c>
      <c r="I91" s="240">
        <v>0</v>
      </c>
      <c r="J91" s="240">
        <v>5</v>
      </c>
      <c r="K91" s="240" t="s">
        <v>868</v>
      </c>
      <c r="L91" s="240">
        <v>50</v>
      </c>
      <c r="M91" s="12"/>
      <c r="N91" s="52"/>
      <c r="O91" s="12"/>
      <c r="P91" s="12"/>
      <c r="Q91" s="12"/>
      <c r="R91" s="12"/>
      <c r="S91" s="12"/>
      <c r="T91" s="52"/>
      <c r="U91" s="52"/>
      <c r="V91" s="11"/>
    </row>
    <row r="92" spans="1:22" x14ac:dyDescent="0.3">
      <c r="A92" s="240" t="s">
        <v>945</v>
      </c>
      <c r="B92" s="186" t="s">
        <v>946</v>
      </c>
      <c r="C92" s="190" t="s">
        <v>947</v>
      </c>
      <c r="D92" s="188" t="s">
        <v>25</v>
      </c>
      <c r="E92" s="240">
        <v>1</v>
      </c>
      <c r="F92" s="240">
        <v>0</v>
      </c>
      <c r="G92" s="240" t="s">
        <v>879</v>
      </c>
      <c r="H92" s="240">
        <v>8</v>
      </c>
      <c r="I92" s="240">
        <v>0</v>
      </c>
      <c r="J92" s="240">
        <v>5</v>
      </c>
      <c r="K92" s="240" t="s">
        <v>868</v>
      </c>
      <c r="L92" s="240">
        <v>50</v>
      </c>
      <c r="M92" s="12"/>
      <c r="N92" s="52"/>
      <c r="O92" s="12"/>
      <c r="P92" s="12"/>
      <c r="Q92" s="12"/>
      <c r="R92" s="12"/>
      <c r="S92" s="12"/>
      <c r="T92" s="52"/>
      <c r="U92" s="52"/>
      <c r="V92" s="11"/>
    </row>
    <row r="93" spans="1:22" x14ac:dyDescent="0.3">
      <c r="A93" s="240" t="s">
        <v>948</v>
      </c>
      <c r="B93" s="186" t="s">
        <v>949</v>
      </c>
      <c r="C93" s="190" t="s">
        <v>950</v>
      </c>
      <c r="D93" s="188" t="s">
        <v>25</v>
      </c>
      <c r="E93" s="240">
        <v>1</v>
      </c>
      <c r="F93" s="240">
        <v>0</v>
      </c>
      <c r="G93" s="240" t="s">
        <v>879</v>
      </c>
      <c r="H93" s="240">
        <v>8</v>
      </c>
      <c r="I93" s="240">
        <v>0</v>
      </c>
      <c r="J93" s="240">
        <v>5</v>
      </c>
      <c r="K93" s="240" t="s">
        <v>868</v>
      </c>
      <c r="L93" s="240">
        <v>50</v>
      </c>
      <c r="M93" s="12"/>
      <c r="N93" s="52"/>
      <c r="O93" s="12"/>
      <c r="P93" s="12"/>
      <c r="Q93" s="12"/>
      <c r="R93" s="12"/>
      <c r="S93" s="12"/>
      <c r="T93" s="52"/>
      <c r="U93" s="52"/>
      <c r="V93" s="11"/>
    </row>
    <row r="94" spans="1:22" x14ac:dyDescent="0.3">
      <c r="A94" s="240" t="s">
        <v>951</v>
      </c>
      <c r="B94" s="186" t="s">
        <v>952</v>
      </c>
      <c r="C94" s="190" t="s">
        <v>953</v>
      </c>
      <c r="D94" s="188" t="s">
        <v>25</v>
      </c>
      <c r="E94" s="240">
        <v>1</v>
      </c>
      <c r="F94" s="240">
        <v>0</v>
      </c>
      <c r="G94" s="240" t="s">
        <v>879</v>
      </c>
      <c r="H94" s="240">
        <v>8</v>
      </c>
      <c r="I94" s="240">
        <v>0</v>
      </c>
      <c r="J94" s="240">
        <v>25</v>
      </c>
      <c r="K94" s="240" t="s">
        <v>868</v>
      </c>
      <c r="L94" s="240" t="s">
        <v>880</v>
      </c>
      <c r="M94" s="12"/>
      <c r="N94" s="52"/>
      <c r="O94" s="12"/>
      <c r="P94" s="12"/>
      <c r="Q94" s="12"/>
      <c r="R94" s="12"/>
      <c r="S94" s="12"/>
      <c r="T94" s="52"/>
      <c r="U94" s="52"/>
      <c r="V94" s="11"/>
    </row>
    <row r="95" spans="1:22" x14ac:dyDescent="0.3">
      <c r="A95" s="240" t="s">
        <v>954</v>
      </c>
      <c r="B95" s="186" t="s">
        <v>955</v>
      </c>
      <c r="C95" s="190" t="s">
        <v>956</v>
      </c>
      <c r="D95" s="188" t="s">
        <v>25</v>
      </c>
      <c r="E95" s="240">
        <v>1</v>
      </c>
      <c r="F95" s="240">
        <v>0</v>
      </c>
      <c r="G95" s="240" t="s">
        <v>879</v>
      </c>
      <c r="H95" s="240">
        <v>8</v>
      </c>
      <c r="I95" s="240">
        <v>0</v>
      </c>
      <c r="J95" s="240">
        <v>25</v>
      </c>
      <c r="K95" s="240" t="s">
        <v>868</v>
      </c>
      <c r="L95" s="240" t="s">
        <v>880</v>
      </c>
      <c r="M95" s="12"/>
      <c r="N95" s="52"/>
      <c r="O95" s="12"/>
      <c r="P95" s="12"/>
      <c r="Q95" s="12"/>
      <c r="R95" s="12"/>
      <c r="S95" s="12"/>
      <c r="T95" s="52"/>
      <c r="U95" s="52"/>
      <c r="V95" s="11"/>
    </row>
    <row r="96" spans="1:22" x14ac:dyDescent="0.3">
      <c r="A96" s="240" t="s">
        <v>957</v>
      </c>
      <c r="B96" s="187" t="s">
        <v>958</v>
      </c>
      <c r="C96" s="191" t="s">
        <v>959</v>
      </c>
      <c r="D96" s="188" t="s">
        <v>25</v>
      </c>
      <c r="E96" s="240">
        <v>1</v>
      </c>
      <c r="F96" s="240">
        <v>0</v>
      </c>
      <c r="G96" s="240" t="s">
        <v>879</v>
      </c>
      <c r="H96" s="240">
        <v>8</v>
      </c>
      <c r="I96" s="240">
        <v>0</v>
      </c>
      <c r="J96" s="240">
        <v>25</v>
      </c>
      <c r="K96" s="240" t="s">
        <v>868</v>
      </c>
      <c r="L96" s="240" t="s">
        <v>880</v>
      </c>
      <c r="M96" s="12"/>
      <c r="N96" s="52"/>
      <c r="O96" s="12"/>
      <c r="P96" s="12"/>
      <c r="Q96" s="12"/>
      <c r="R96" s="12"/>
      <c r="S96" s="12"/>
      <c r="T96" s="52"/>
      <c r="U96" s="52"/>
      <c r="V96" s="11"/>
    </row>
    <row r="97" spans="1:22" ht="13.4" customHeight="1" thickBot="1" x14ac:dyDescent="0.35">
      <c r="A97" s="5"/>
      <c r="B97" s="5"/>
      <c r="C97" s="5"/>
      <c r="D97" s="5"/>
      <c r="E97" s="5"/>
      <c r="F97" s="5"/>
      <c r="G97" s="5"/>
      <c r="H97" s="5"/>
      <c r="I97" s="5"/>
      <c r="J97" s="3"/>
      <c r="K97" s="3"/>
      <c r="L97" s="3"/>
      <c r="M97" s="3"/>
      <c r="N97" s="3"/>
      <c r="O97" s="5"/>
      <c r="P97" s="5"/>
      <c r="Q97" s="5"/>
      <c r="R97" s="5"/>
      <c r="S97" s="5"/>
      <c r="T97" s="3"/>
      <c r="U97" s="3"/>
      <c r="V97" s="125"/>
    </row>
    <row r="98" spans="1:22" ht="13.75" customHeight="1" thickTop="1" thickBot="1" x14ac:dyDescent="0.35">
      <c r="A98" s="9"/>
      <c r="B98" s="9"/>
      <c r="C98" s="9"/>
      <c r="D98" s="9"/>
      <c r="E98" s="9"/>
      <c r="F98" s="9"/>
      <c r="G98" s="9"/>
      <c r="H98" s="9"/>
      <c r="I98" s="9"/>
      <c r="J98" s="122"/>
      <c r="K98" s="122"/>
      <c r="L98" s="122"/>
      <c r="M98" s="122"/>
      <c r="N98" s="122"/>
      <c r="O98" s="9"/>
      <c r="P98" s="9"/>
      <c r="Q98" s="9"/>
      <c r="R98" s="9"/>
      <c r="S98" s="9"/>
      <c r="T98" s="9"/>
      <c r="U98" s="24"/>
    </row>
    <row r="99" spans="1:22" ht="13.4" customHeight="1" thickTop="1" x14ac:dyDescent="0.3"/>
  </sheetData>
  <mergeCells count="15">
    <mergeCell ref="A87:L87"/>
    <mergeCell ref="A49:U49"/>
    <mergeCell ref="A53:L53"/>
    <mergeCell ref="A61:U61"/>
    <mergeCell ref="A65:L65"/>
    <mergeCell ref="A71:U71"/>
    <mergeCell ref="A75:L75"/>
    <mergeCell ref="A82:U82"/>
    <mergeCell ref="A83:U83"/>
    <mergeCell ref="A37:L37"/>
    <mergeCell ref="A1:U1"/>
    <mergeCell ref="A5:L5"/>
    <mergeCell ref="A17:U17"/>
    <mergeCell ref="A21:L21"/>
    <mergeCell ref="A33:U33"/>
  </mergeCells>
  <dataValidations count="20">
    <dataValidation type="list" allowBlank="1" showInputMessage="1" showErrorMessage="1" sqref="N85" xr:uid="{00000000-0002-0000-0C00-000000000000}">
      <formula1>"'---,Immediate,Software,Analog Edge - Positive,Analog Edge - Negative,Digital Edge - Positive,Digital Edge - Negative,Window - Entering,Window - Leaving,Hysteresis - Positive,Hysteresis - Negative"</formula1>
    </dataValidation>
    <dataValidation type="list" allowBlank="1" showInputMessage="1" showErrorMessage="1" promptTitle="Notes" prompt="Immediate - &lt;unused&gt;_x000a_Analog Edge - Used_x000a_Digital Edge - &lt;unused&gt;_x000a_Window - Used_x000a_Hysteresis - Used" sqref="O85" xr:uid="{00000000-0002-0000-0C00-000001000000}">
      <formula1>"AC,DC,HF Reject,LF Reject,AC Plus HF Reject"</formula1>
    </dataValidation>
    <dataValidation allowBlank="1" showInputMessage="1" showErrorMessage="1" promptTitle="Note" prompt="Immediate - &lt;unused&gt;_x000a_Software - &lt;unused&gt;_x000a_Analog Edge - Trigger Level_x000a_Digital Edge - &lt;unused&gt;_x000a_Window - Low Window Level_x000a_Hysteresis - Trigger Level" sqref="Q85" xr:uid="{00000000-0002-0000-0C00-000002000000}"/>
    <dataValidation allowBlank="1" showInputMessage="1" showErrorMessage="1" promptTitle="Note" prompt="Immediate - &lt;unused&gt;_x000a_Software - &lt;unused&gt;_x000a_Analog Edge - &lt;unused&gt;_x000a_Digital Edge - &lt;unused&gt;_x000a_Window - High Window Level_x000a_Hysteresis - Trigger Level Hysteresis" sqref="R85" xr:uid="{00000000-0002-0000-0C00-000003000000}"/>
    <dataValidation type="list" allowBlank="1" showInputMessage="1" showErrorMessage="1" sqref="P85" xr:uid="{00000000-0002-0000-0C00-000004000000}">
      <formula1>"'---, CH1, CH2, CH3, CH4, CH5, CH6, CH7, CH8, RTSI 0,RTSI 1,RTSI 2, RTSI 3,RTSI 4,RTSI 5,RTSI 6,PFI0,PFI1,PFI2,PXI Star Trigger,Immediate,Software"</formula1>
    </dataValidation>
    <dataValidation allowBlank="1" showInputMessage="1" showErrorMessage="1" promptTitle="Probe Attenuation" prompt="Probe attenuation is applied exactly as specified. Therefore, if you select a 1.234 probe attenuation, your data is the voltage measured multiplied by 1.234." sqref="J95 J93 J91 J89" xr:uid="{00000000-0002-0000-0C00-000005000000}"/>
    <dataValidation allowBlank="1" showInputMessage="1" showErrorMessage="1" promptTitle="Probe Attenuation" prompt="Probe attenuation is applied exactly as specified. Therefore, if you select a 1.234 probe attenuation, your data is the voltage measured multiplied by 1.234. " sqref="J88" xr:uid="{00000000-0002-0000-0C00-000006000000}"/>
    <dataValidation type="list" allowBlank="1" showInputMessage="1" showErrorMessage="1" errorTitle="Invalid Entry" error="Invalid Entry" promptTitle="Trigger Group" prompt="This property is only valid for Type (DAQmx TCLK). All scopes in the same group will be added to the same TCLK session" sqref="U3 U19 U35 U63 U51 U73 U85" xr:uid="{00000000-0002-0000-0C00-000007000000}">
      <formula1>"'---,0,1,2,3"</formula1>
    </dataValidation>
    <dataValidation type="list" allowBlank="1" showInputMessage="1" showErrorMessage="1" sqref="T3 T19 T35 T63 T51 T73 T85" xr:uid="{00000000-0002-0000-0C00-000008000000}">
      <formula1>"'---,RTSI 0,RTSI 1,RTSI 2,RTSI 3,RTSI 4,RTSI 5,RTSI 6,RTSI 7 (RTSI Clock),PXI Star Trigger,PFI0,PFI1"</formula1>
    </dataValidation>
    <dataValidation allowBlank="1" showInputMessage="1" showErrorMessage="1" promptTitle="Engine Port Setting" prompt="This is the remote port that you are trying to connect to" sqref="C3 C19 C35 C51 C63 C73 C85" xr:uid="{00000000-0002-0000-0C00-000009000000}"/>
    <dataValidation type="list" allowBlank="1" showInputMessage="1" showErrorMessage="1" promptTitle="Engine IP Address" prompt="IP address of the machine that the Engine is running on" sqref="B3 B19 B35 B51 B63 B73 B85" xr:uid="{00000000-0002-0000-0C00-00000A000000}">
      <formula1>"LocalHost,192.168.1.98,192.168.1.99"</formula1>
    </dataValidation>
    <dataValidation type="list" allowBlank="1" showInputMessage="1" showErrorMessage="1" sqref="P73 P51" xr:uid="{00000000-0002-0000-0C00-00000B000000}">
      <formula1>"Ch0,Ch1,External,Immediate"</formula1>
    </dataValidation>
    <dataValidation type="list" allowBlank="1" showInputMessage="1" showErrorMessage="1" sqref="O3 O19 O35 O51 O63 O73" xr:uid="{00000000-0002-0000-0C00-00000C000000}">
      <formula1>"AC,DC,HF Reject,LF Reject,AC Plus HF Reject"</formula1>
    </dataValidation>
    <dataValidation type="list" allowBlank="1" showInputMessage="1" showErrorMessage="1" sqref="N3 N19 N35 N51 N63 N73" xr:uid="{00000000-0002-0000-0C00-00000D000000}">
      <formula1>"Immediate,Analog Edge - Positive,Analog Edge - Negative,Digital Edge - Positive,Digital Edge - Negative,Window - Entering,Window - Leaving,Hysteresis - Positive,Hysteresis - Negative"</formula1>
    </dataValidation>
    <dataValidation type="list" allowBlank="1" showInputMessage="1" showErrorMessage="1" sqref="L39:L46 L23:L30 L55:L58 L67:L68 L77:L80 L7:L14 L89:L96" xr:uid="{00000000-0002-0000-0C00-00000E000000}">
      <formula1>"1M,50"</formula1>
    </dataValidation>
    <dataValidation type="list" allowBlank="1" showInputMessage="1" showErrorMessage="1" sqref="K89:K96 K23:K30 K55:K58 K67:K68 K77:K80 K7:K14 K39:K46" xr:uid="{00000000-0002-0000-0C00-00000F000000}">
      <formula1>"AC,DC,Ground"</formula1>
    </dataValidation>
    <dataValidation type="date" operator="greaterThan" allowBlank="1" showInputMessage="1" showErrorMessage="1" sqref="K3 K19 K35 K51 K63 K73 K85" xr:uid="{00000000-0002-0000-0C00-000010000000}">
      <formula1>36526</formula1>
    </dataValidation>
    <dataValidation type="list" allowBlank="1" showInputMessage="1" showErrorMessage="1" sqref="G3 D7:D14 G19 D23:D30 G35 D89:D96 G51 D55:D58 G63 D67:D68 G73 D77:D80 G85 D39:D46" xr:uid="{00000000-0002-0000-0C00-000011000000}">
      <formula1>"Yes,'---"</formula1>
    </dataValidation>
    <dataValidation type="list" allowBlank="1" showInputMessage="1" showErrorMessage="1" sqref="P3 P19 P35" xr:uid="{00000000-0002-0000-0C00-000012000000}">
      <formula1>"Channel 0,Ch1,External,Immediate"</formula1>
    </dataValidation>
    <dataValidation type="list" allowBlank="1" showInputMessage="1" showErrorMessage="1" sqref="P63" xr:uid="{00000000-0002-0000-0C00-000013000000}">
      <formula1>"Channel 0,Channel 1,External,Immediate"</formula1>
    </dataValidation>
  </dataValidations>
  <pageMargins left="0.7" right="0.7" top="0.75" bottom="0.75" header="0.3" footer="0.3"/>
  <pageSetup orientation="portrait"/>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J9"/>
  <sheetViews>
    <sheetView workbookViewId="0">
      <selection sqref="A1:I1"/>
    </sheetView>
  </sheetViews>
  <sheetFormatPr defaultColWidth="8.7265625" defaultRowHeight="14.5" x14ac:dyDescent="0.35"/>
  <cols>
    <col min="1" max="1" width="15.26953125" style="25" bestFit="1" customWidth="1"/>
    <col min="2" max="2" width="18.26953125" style="25" bestFit="1" customWidth="1"/>
    <col min="3" max="3" width="23.453125" style="25" bestFit="1" customWidth="1"/>
    <col min="4" max="4" width="16.453125" style="25" bestFit="1" customWidth="1"/>
    <col min="5" max="5" width="7" style="25" bestFit="1" customWidth="1"/>
    <col min="6" max="6" width="5.7265625" style="25" bestFit="1" customWidth="1"/>
    <col min="7" max="8" width="11.54296875" style="25" bestFit="1" customWidth="1"/>
    <col min="9" max="9" width="13.453125" style="25" bestFit="1" customWidth="1"/>
    <col min="10" max="10" width="12.54296875" style="25" bestFit="1" customWidth="1"/>
    <col min="11" max="17" width="8.7265625" style="25" customWidth="1"/>
    <col min="18" max="16384" width="8.7265625" style="25"/>
  </cols>
  <sheetData>
    <row r="1" spans="1:10" x14ac:dyDescent="0.35">
      <c r="A1" s="305" t="s">
        <v>7</v>
      </c>
      <c r="B1" s="306"/>
      <c r="C1" s="306"/>
      <c r="D1" s="306"/>
      <c r="E1" s="306"/>
      <c r="F1" s="306"/>
      <c r="G1" s="306"/>
      <c r="H1" s="306"/>
      <c r="I1" s="307"/>
      <c r="J1" s="20"/>
    </row>
    <row r="2" spans="1:10" x14ac:dyDescent="0.35">
      <c r="A2" s="59" t="s">
        <v>10</v>
      </c>
      <c r="B2" s="59" t="s">
        <v>13</v>
      </c>
      <c r="C2" s="59" t="s">
        <v>14</v>
      </c>
      <c r="D2" s="59" t="s">
        <v>15</v>
      </c>
      <c r="E2" s="59" t="s">
        <v>16</v>
      </c>
      <c r="F2" s="59" t="s">
        <v>17</v>
      </c>
      <c r="G2" s="59" t="s">
        <v>18</v>
      </c>
      <c r="H2" s="59" t="s">
        <v>19</v>
      </c>
      <c r="I2" s="59" t="s">
        <v>20</v>
      </c>
      <c r="J2" s="20"/>
    </row>
    <row r="3" spans="1:10" x14ac:dyDescent="0.35">
      <c r="A3" s="240" t="s">
        <v>960</v>
      </c>
      <c r="B3" s="240" t="s">
        <v>961</v>
      </c>
      <c r="C3" s="240" t="s">
        <v>962</v>
      </c>
      <c r="D3" s="240" t="s">
        <v>963</v>
      </c>
      <c r="E3" s="2" t="s">
        <v>25</v>
      </c>
      <c r="F3" s="240">
        <v>1000</v>
      </c>
      <c r="G3" s="240">
        <v>1234</v>
      </c>
      <c r="H3" s="240">
        <v>5678</v>
      </c>
      <c r="I3" s="10">
        <v>43776</v>
      </c>
      <c r="J3" s="20"/>
    </row>
    <row r="4" spans="1:10" x14ac:dyDescent="0.35">
      <c r="A4" s="12"/>
      <c r="B4" s="12"/>
      <c r="C4" s="12"/>
      <c r="D4" s="12"/>
      <c r="E4" s="12"/>
      <c r="F4" s="12"/>
      <c r="G4" s="12"/>
      <c r="H4" s="12"/>
      <c r="I4" s="12"/>
      <c r="J4" s="20"/>
    </row>
    <row r="5" spans="1:10" x14ac:dyDescent="0.35">
      <c r="A5" s="305" t="s">
        <v>36</v>
      </c>
      <c r="B5" s="306"/>
      <c r="C5" s="306"/>
      <c r="D5" s="307"/>
      <c r="E5" s="12"/>
      <c r="F5" s="12"/>
      <c r="G5" s="12"/>
      <c r="H5" s="12"/>
      <c r="I5" s="12"/>
      <c r="J5" s="20"/>
    </row>
    <row r="6" spans="1:10" x14ac:dyDescent="0.35">
      <c r="A6" s="1" t="s">
        <v>13</v>
      </c>
      <c r="B6" s="1" t="s">
        <v>14</v>
      </c>
      <c r="C6" s="1" t="s">
        <v>15</v>
      </c>
      <c r="D6" s="1" t="s">
        <v>16</v>
      </c>
      <c r="E6" s="12"/>
      <c r="F6" s="12"/>
      <c r="G6" s="12"/>
      <c r="H6" s="12"/>
      <c r="I6" s="12"/>
      <c r="J6" s="20"/>
    </row>
    <row r="7" spans="1:10" x14ac:dyDescent="0.35">
      <c r="A7" s="240">
        <v>1</v>
      </c>
      <c r="B7" s="240" t="s">
        <v>964</v>
      </c>
      <c r="C7" s="240" t="s">
        <v>965</v>
      </c>
      <c r="D7" s="2" t="s">
        <v>25</v>
      </c>
      <c r="E7" s="12"/>
      <c r="F7" s="12"/>
      <c r="G7" s="12"/>
      <c r="H7" s="12"/>
      <c r="I7" s="12"/>
      <c r="J7" s="14"/>
    </row>
    <row r="8" spans="1:10" ht="15" customHeight="1" thickBot="1" x14ac:dyDescent="0.4">
      <c r="A8" s="5"/>
      <c r="B8" s="5"/>
      <c r="C8" s="5"/>
      <c r="D8" s="5"/>
      <c r="E8" s="5"/>
      <c r="F8" s="5"/>
      <c r="G8" s="5"/>
      <c r="H8" s="5"/>
      <c r="I8" s="5"/>
      <c r="J8" s="17"/>
    </row>
    <row r="9" spans="1:10" ht="15" customHeight="1" thickTop="1" x14ac:dyDescent="0.35"/>
  </sheetData>
  <mergeCells count="2">
    <mergeCell ref="A5:D5"/>
    <mergeCell ref="A1:I1"/>
  </mergeCells>
  <dataValidations count="2">
    <dataValidation type="date" operator="greaterThan" allowBlank="1" showInputMessage="1" showErrorMessage="1" sqref="I3" xr:uid="{00000000-0002-0000-0D00-000000000000}">
      <formula1>36526</formula1>
    </dataValidation>
    <dataValidation type="list" allowBlank="1" showInputMessage="1" showErrorMessage="1" sqref="E3 D7" xr:uid="{00000000-0002-0000-0D00-000001000000}">
      <formula1>"Yes,'---"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1786</vt:i4>
      </vt:variant>
    </vt:vector>
  </HeadingPairs>
  <TitlesOfParts>
    <vt:vector size="1801" baseType="lpstr">
      <vt:lpstr>Version</vt:lpstr>
      <vt:lpstr>Synchronization</vt:lpstr>
      <vt:lpstr>Digitizer</vt:lpstr>
      <vt:lpstr>Switch</vt:lpstr>
      <vt:lpstr>Foundation Bus</vt:lpstr>
      <vt:lpstr>FBUS Message(s)</vt:lpstr>
      <vt:lpstr>SpaceWire</vt:lpstr>
      <vt:lpstr>DMM</vt:lpstr>
      <vt:lpstr>ARB</vt:lpstr>
      <vt:lpstr>DC Power Supply</vt:lpstr>
      <vt:lpstr>FPGA_SquibEmulation</vt:lpstr>
      <vt:lpstr>FPGA</vt:lpstr>
      <vt:lpstr>PXIe-7867R_01_Timing</vt:lpstr>
      <vt:lpstr>Scope</vt:lpstr>
      <vt:lpstr>Example</vt:lpstr>
      <vt:lpstr>Example!Address_01</vt:lpstr>
      <vt:lpstr>ARB!Alias_01</vt:lpstr>
      <vt:lpstr>'DC Power Supply'!Alias_01</vt:lpstr>
      <vt:lpstr>Digitizer!Alias_01</vt:lpstr>
      <vt:lpstr>DMM!Alias_01</vt:lpstr>
      <vt:lpstr>Example!Alias_01</vt:lpstr>
      <vt:lpstr>'Foundation Bus'!Alias_01</vt:lpstr>
      <vt:lpstr>FPGA!Alias_01</vt:lpstr>
      <vt:lpstr>Scope!Alias_01</vt:lpstr>
      <vt:lpstr>SpaceWire!Alias_01</vt:lpstr>
      <vt:lpstr>Switch!Alias_01</vt:lpstr>
      <vt:lpstr>Synchronization!Alias_01</vt:lpstr>
      <vt:lpstr>ARB!Alias_02</vt:lpstr>
      <vt:lpstr>'DC Power Supply'!Alias_02</vt:lpstr>
      <vt:lpstr>Digitizer!Alias_02</vt:lpstr>
      <vt:lpstr>FPGA!Alias_02</vt:lpstr>
      <vt:lpstr>Scope!Alias_02</vt:lpstr>
      <vt:lpstr>SpaceWire!Alias_02</vt:lpstr>
      <vt:lpstr>Switch!Alias_02</vt:lpstr>
      <vt:lpstr>Synchronization!Alias_02</vt:lpstr>
      <vt:lpstr>ARB!Alias_03</vt:lpstr>
      <vt:lpstr>'DC Power Supply'!Alias_03</vt:lpstr>
      <vt:lpstr>Digitizer!Alias_03</vt:lpstr>
      <vt:lpstr>FPGA!Alias_03</vt:lpstr>
      <vt:lpstr>Scope!Alias_03</vt:lpstr>
      <vt:lpstr>'DC Power Supply'!Alias_04</vt:lpstr>
      <vt:lpstr>Digitizer!Alias_04</vt:lpstr>
      <vt:lpstr>Scope!Alias_04</vt:lpstr>
      <vt:lpstr>'DC Power Supply'!Alias_05</vt:lpstr>
      <vt:lpstr>Digitizer!Alias_05</vt:lpstr>
      <vt:lpstr>Scope!Alias_05</vt:lpstr>
      <vt:lpstr>'DC Power Supply'!Alias_06</vt:lpstr>
      <vt:lpstr>Digitizer!Alias_06</vt:lpstr>
      <vt:lpstr>Scope!Alias_06</vt:lpstr>
      <vt:lpstr>'DC Power Supply'!Alias_07</vt:lpstr>
      <vt:lpstr>Digitizer!Alias_07</vt:lpstr>
      <vt:lpstr>Scope!Alias_07</vt:lpstr>
      <vt:lpstr>'DC Power Supply'!Alias_08</vt:lpstr>
      <vt:lpstr>Digitizer!Alias_08</vt:lpstr>
      <vt:lpstr>'DC Power Supply'!Alias_09</vt:lpstr>
      <vt:lpstr>Digitizer!Alias_09</vt:lpstr>
      <vt:lpstr>Digitizer!Alias_10</vt:lpstr>
      <vt:lpstr>Digitizer!Alias_11</vt:lpstr>
      <vt:lpstr>Digitizer!Alias_12</vt:lpstr>
      <vt:lpstr>Digitizer!Alias_13</vt:lpstr>
      <vt:lpstr>Digitizer!Alias_14</vt:lpstr>
      <vt:lpstr>Digitizer!Alias_15</vt:lpstr>
      <vt:lpstr>ARB!ARB_Gain_01</vt:lpstr>
      <vt:lpstr>ARB!ARB_Offset</vt:lpstr>
      <vt:lpstr>ARB!AssetNumber_01</vt:lpstr>
      <vt:lpstr>'DC Power Supply'!AssetNumber_01</vt:lpstr>
      <vt:lpstr>Digitizer!AssetNumber_01</vt:lpstr>
      <vt:lpstr>DMM!AssetNumber_01</vt:lpstr>
      <vt:lpstr>Example!AssetNumber_01</vt:lpstr>
      <vt:lpstr>'Foundation Bus'!AssetNumber_01</vt:lpstr>
      <vt:lpstr>FPGA!AssetNumber_01</vt:lpstr>
      <vt:lpstr>Scope!AssetNumber_01</vt:lpstr>
      <vt:lpstr>SpaceWire!AssetNumber_01</vt:lpstr>
      <vt:lpstr>Switch!AssetNumber_01</vt:lpstr>
      <vt:lpstr>Synchronization!AssetNumber_01</vt:lpstr>
      <vt:lpstr>ARB!AssetNumber_02</vt:lpstr>
      <vt:lpstr>'DC Power Supply'!AssetNumber_02</vt:lpstr>
      <vt:lpstr>Digitizer!AssetNumber_02</vt:lpstr>
      <vt:lpstr>FPGA!AssetNumber_02</vt:lpstr>
      <vt:lpstr>Scope!AssetNumber_02</vt:lpstr>
      <vt:lpstr>SpaceWire!AssetNumber_02</vt:lpstr>
      <vt:lpstr>Switch!AssetNumber_02</vt:lpstr>
      <vt:lpstr>Synchronization!AssetNumber_02</vt:lpstr>
      <vt:lpstr>ARB!AssetNumber_03</vt:lpstr>
      <vt:lpstr>'DC Power Supply'!AssetNumber_03</vt:lpstr>
      <vt:lpstr>Digitizer!AssetNumber_03</vt:lpstr>
      <vt:lpstr>FPGA!AssetNumber_03</vt:lpstr>
      <vt:lpstr>Scope!AssetNumber_03</vt:lpstr>
      <vt:lpstr>'DC Power Supply'!AssetNumber_04</vt:lpstr>
      <vt:lpstr>Digitizer!AssetNumber_04</vt:lpstr>
      <vt:lpstr>Scope!AssetNumber_04</vt:lpstr>
      <vt:lpstr>'DC Power Supply'!AssetNumber_05</vt:lpstr>
      <vt:lpstr>Digitizer!AssetNumber_05</vt:lpstr>
      <vt:lpstr>Scope!AssetNumber_05</vt:lpstr>
      <vt:lpstr>'DC Power Supply'!AssetNumber_06</vt:lpstr>
      <vt:lpstr>Digitizer!AssetNumber_06</vt:lpstr>
      <vt:lpstr>Scope!AssetNumber_06</vt:lpstr>
      <vt:lpstr>'DC Power Supply'!AssetNumber_07</vt:lpstr>
      <vt:lpstr>Digitizer!AssetNumber_07</vt:lpstr>
      <vt:lpstr>Scope!AssetNumber_07</vt:lpstr>
      <vt:lpstr>'DC Power Supply'!AssetNumber_08</vt:lpstr>
      <vt:lpstr>Digitizer!AssetNumber_08</vt:lpstr>
      <vt:lpstr>'DC Power Supply'!AssetNumber_09</vt:lpstr>
      <vt:lpstr>Digitizer!AssetNumber_09</vt:lpstr>
      <vt:lpstr>Digitizer!AssetNumber_10</vt:lpstr>
      <vt:lpstr>Digitizer!AssetNumber_11</vt:lpstr>
      <vt:lpstr>Digitizer!AssetNumber_12</vt:lpstr>
      <vt:lpstr>Digitizer!AssetNumber_13</vt:lpstr>
      <vt:lpstr>Digitizer!AssetNumber_14</vt:lpstr>
      <vt:lpstr>Digitizer!AssetNumber_15</vt:lpstr>
      <vt:lpstr>FPGA!BitfilePath_01</vt:lpstr>
      <vt:lpstr>FPGA!BitfilePath_02</vt:lpstr>
      <vt:lpstr>FPGA!BitfilePath_03</vt:lpstr>
      <vt:lpstr>ARB!Calibration_01</vt:lpstr>
      <vt:lpstr>'DC Power Supply'!Calibration_01</vt:lpstr>
      <vt:lpstr>Digitizer!Calibration_01</vt:lpstr>
      <vt:lpstr>DMM!Calibration_01</vt:lpstr>
      <vt:lpstr>Example!Calibration_01</vt:lpstr>
      <vt:lpstr>'Foundation Bus'!Calibration_01</vt:lpstr>
      <vt:lpstr>FPGA!Calibration_01</vt:lpstr>
      <vt:lpstr>Scope!Calibration_01</vt:lpstr>
      <vt:lpstr>SpaceWire!Calibration_01</vt:lpstr>
      <vt:lpstr>Switch!Calibration_01</vt:lpstr>
      <vt:lpstr>Synchronization!Calibration_01</vt:lpstr>
      <vt:lpstr>ARB!Calibration_02</vt:lpstr>
      <vt:lpstr>'DC Power Supply'!Calibration_02</vt:lpstr>
      <vt:lpstr>Digitizer!Calibration_02</vt:lpstr>
      <vt:lpstr>FPGA!Calibration_02</vt:lpstr>
      <vt:lpstr>Scope!Calibration_02</vt:lpstr>
      <vt:lpstr>SpaceWire!Calibration_02</vt:lpstr>
      <vt:lpstr>Switch!Calibration_02</vt:lpstr>
      <vt:lpstr>Synchronization!Calibration_02</vt:lpstr>
      <vt:lpstr>ARB!Calibration_03</vt:lpstr>
      <vt:lpstr>'DC Power Supply'!Calibration_03</vt:lpstr>
      <vt:lpstr>Digitizer!Calibration_03</vt:lpstr>
      <vt:lpstr>FPGA!Calibration_03</vt:lpstr>
      <vt:lpstr>Scope!Calibration_03</vt:lpstr>
      <vt:lpstr>'DC Power Supply'!Calibration_04</vt:lpstr>
      <vt:lpstr>Digitizer!Calibration_04</vt:lpstr>
      <vt:lpstr>Scope!Calibration_04</vt:lpstr>
      <vt:lpstr>'DC Power Supply'!Calibration_05</vt:lpstr>
      <vt:lpstr>Digitizer!Calibration_05</vt:lpstr>
      <vt:lpstr>Scope!Calibration_05</vt:lpstr>
      <vt:lpstr>'DC Power Supply'!Calibration_06</vt:lpstr>
      <vt:lpstr>Digitizer!Calibration_06</vt:lpstr>
      <vt:lpstr>Scope!Calibration_06</vt:lpstr>
      <vt:lpstr>'DC Power Supply'!Calibration_07</vt:lpstr>
      <vt:lpstr>Digitizer!Calibration_07</vt:lpstr>
      <vt:lpstr>Scope!Calibration_07</vt:lpstr>
      <vt:lpstr>'DC Power Supply'!Calibration_08</vt:lpstr>
      <vt:lpstr>Digitizer!Calibration_08</vt:lpstr>
      <vt:lpstr>'DC Power Supply'!Calibration_09</vt:lpstr>
      <vt:lpstr>Digitizer!Calibration_09</vt:lpstr>
      <vt:lpstr>Digitizer!Calibration_10</vt:lpstr>
      <vt:lpstr>Digitizer!Calibration_11</vt:lpstr>
      <vt:lpstr>Digitizer!Calibration_12</vt:lpstr>
      <vt:lpstr>Digitizer!Calibration_13</vt:lpstr>
      <vt:lpstr>Digitizer!Calibration_14</vt:lpstr>
      <vt:lpstr>Digitizer!Calibration_15</vt:lpstr>
      <vt:lpstr>Switch!Channel_ActiveLow_01</vt:lpstr>
      <vt:lpstr>Switch!Channel_ActiveLow_02</vt:lpstr>
      <vt:lpstr>ARB!Channel_Address_01</vt:lpstr>
      <vt:lpstr>'DC Power Supply'!Channel_Address_01</vt:lpstr>
      <vt:lpstr>Digitizer!Channel_Address_01</vt:lpstr>
      <vt:lpstr>DMM!Channel_Address_01</vt:lpstr>
      <vt:lpstr>Example!Channel_Address_01</vt:lpstr>
      <vt:lpstr>'Foundation Bus'!Channel_Address_01</vt:lpstr>
      <vt:lpstr>FPGA!Channel_Address_01</vt:lpstr>
      <vt:lpstr>Scope!Channel_Address_01</vt:lpstr>
      <vt:lpstr>SpaceWire!Channel_Address_01</vt:lpstr>
      <vt:lpstr>Switch!Channel_Address_01</vt:lpstr>
      <vt:lpstr>Synchronization!Channel_Address_01</vt:lpstr>
      <vt:lpstr>ARB!Channel_Address_02</vt:lpstr>
      <vt:lpstr>'DC Power Supply'!Channel_Address_02</vt:lpstr>
      <vt:lpstr>Digitizer!Channel_Address_02</vt:lpstr>
      <vt:lpstr>FPGA!Channel_Address_02</vt:lpstr>
      <vt:lpstr>Scope!Channel_Address_02</vt:lpstr>
      <vt:lpstr>SpaceWire!Channel_Address_02</vt:lpstr>
      <vt:lpstr>Switch!Channel_Address_02</vt:lpstr>
      <vt:lpstr>Synchronization!Channel_Address_02</vt:lpstr>
      <vt:lpstr>ARB!Channel_Address_03</vt:lpstr>
      <vt:lpstr>'DC Power Supply'!Channel_Address_03</vt:lpstr>
      <vt:lpstr>Digitizer!Channel_Address_03</vt:lpstr>
      <vt:lpstr>FPGA!Channel_Address_03</vt:lpstr>
      <vt:lpstr>Scope!Channel_Address_03</vt:lpstr>
      <vt:lpstr>'DC Power Supply'!Channel_Address_04</vt:lpstr>
      <vt:lpstr>Digitizer!Channel_Address_04</vt:lpstr>
      <vt:lpstr>Scope!Channel_Address_04</vt:lpstr>
      <vt:lpstr>'DC Power Supply'!Channel_Address_05</vt:lpstr>
      <vt:lpstr>Digitizer!Channel_Address_05</vt:lpstr>
      <vt:lpstr>Scope!Channel_Address_05</vt:lpstr>
      <vt:lpstr>'DC Power Supply'!Channel_Address_06</vt:lpstr>
      <vt:lpstr>Digitizer!Channel_Address_06</vt:lpstr>
      <vt:lpstr>Scope!Channel_Address_06</vt:lpstr>
      <vt:lpstr>'DC Power Supply'!Channel_Address_07</vt:lpstr>
      <vt:lpstr>Digitizer!Channel_Address_07</vt:lpstr>
      <vt:lpstr>Scope!Channel_Address_07</vt:lpstr>
      <vt:lpstr>'DC Power Supply'!Channel_Address_08</vt:lpstr>
      <vt:lpstr>Digitizer!Channel_Address_08</vt:lpstr>
      <vt:lpstr>'DC Power Supply'!Channel_Address_09</vt:lpstr>
      <vt:lpstr>Digitizer!Channel_Address_09</vt:lpstr>
      <vt:lpstr>Digitizer!Channel_Address_10</vt:lpstr>
      <vt:lpstr>Digitizer!Channel_Address_11</vt:lpstr>
      <vt:lpstr>Digitizer!Channel_Address_12</vt:lpstr>
      <vt:lpstr>Digitizer!Channel_Address_13</vt:lpstr>
      <vt:lpstr>Digitizer!Channel_Address_14</vt:lpstr>
      <vt:lpstr>Digitizer!Channel_Address_15</vt:lpstr>
      <vt:lpstr>ARB!Channel_Alias_01</vt:lpstr>
      <vt:lpstr>'DC Power Supply'!Channel_Alias_01</vt:lpstr>
      <vt:lpstr>Digitizer!Channel_Alias_01</vt:lpstr>
      <vt:lpstr>Example!Channel_Alias_01</vt:lpstr>
      <vt:lpstr>'Foundation Bus'!Channel_Alias_01</vt:lpstr>
      <vt:lpstr>FPGA!Channel_Alias_01</vt:lpstr>
      <vt:lpstr>Scope!Channel_Alias_01</vt:lpstr>
      <vt:lpstr>SpaceWire!Channel_Alias_01</vt:lpstr>
      <vt:lpstr>Switch!Channel_Alias_01</vt:lpstr>
      <vt:lpstr>Synchronization!Channel_Alias_01</vt:lpstr>
      <vt:lpstr>ARB!Channel_Alias_02</vt:lpstr>
      <vt:lpstr>'DC Power Supply'!Channel_Alias_02</vt:lpstr>
      <vt:lpstr>Digitizer!Channel_Alias_02</vt:lpstr>
      <vt:lpstr>FPGA!Channel_Alias_02</vt:lpstr>
      <vt:lpstr>Scope!Channel_Alias_02</vt:lpstr>
      <vt:lpstr>SpaceWire!Channel_Alias_02</vt:lpstr>
      <vt:lpstr>Switch!Channel_Alias_02</vt:lpstr>
      <vt:lpstr>Synchronization!Channel_Alias_02</vt:lpstr>
      <vt:lpstr>ARB!Channel_Alias_03</vt:lpstr>
      <vt:lpstr>'DC Power Supply'!Channel_Alias_03</vt:lpstr>
      <vt:lpstr>Digitizer!Channel_Alias_03</vt:lpstr>
      <vt:lpstr>FPGA!Channel_Alias_03</vt:lpstr>
      <vt:lpstr>Scope!Channel_Alias_03</vt:lpstr>
      <vt:lpstr>'DC Power Supply'!Channel_Alias_04</vt:lpstr>
      <vt:lpstr>Digitizer!Channel_Alias_04</vt:lpstr>
      <vt:lpstr>Scope!Channel_Alias_04</vt:lpstr>
      <vt:lpstr>'DC Power Supply'!Channel_Alias_05</vt:lpstr>
      <vt:lpstr>Digitizer!Channel_Alias_05</vt:lpstr>
      <vt:lpstr>Scope!Channel_Alias_05</vt:lpstr>
      <vt:lpstr>'DC Power Supply'!Channel_Alias_06</vt:lpstr>
      <vt:lpstr>Digitizer!Channel_Alias_06</vt:lpstr>
      <vt:lpstr>Scope!Channel_Alias_06</vt:lpstr>
      <vt:lpstr>'DC Power Supply'!Channel_Alias_07</vt:lpstr>
      <vt:lpstr>Digitizer!Channel_Alias_07</vt:lpstr>
      <vt:lpstr>Scope!Channel_Alias_07</vt:lpstr>
      <vt:lpstr>'DC Power Supply'!Channel_Alias_08</vt:lpstr>
      <vt:lpstr>Digitizer!Channel_Alias_08</vt:lpstr>
      <vt:lpstr>'DC Power Supply'!Channel_Alias_09</vt:lpstr>
      <vt:lpstr>Digitizer!Channel_Alias_09</vt:lpstr>
      <vt:lpstr>Digitizer!Channel_Alias_10</vt:lpstr>
      <vt:lpstr>Digitizer!Channel_Alias_11</vt:lpstr>
      <vt:lpstr>Digitizer!Channel_Alias_12</vt:lpstr>
      <vt:lpstr>Digitizer!Channel_Alias_13</vt:lpstr>
      <vt:lpstr>Digitizer!Channel_Alias_14</vt:lpstr>
      <vt:lpstr>Digitizer!Channel_Alias_15</vt:lpstr>
      <vt:lpstr>ARB!Channel_Amplitude_01</vt:lpstr>
      <vt:lpstr>Digitizer!Channel_ApertureBurstWindow_01</vt:lpstr>
      <vt:lpstr>Digitizer!Channel_ApertureBurstWindow_02</vt:lpstr>
      <vt:lpstr>Digitizer!Channel_ApertureBurstWindow_03</vt:lpstr>
      <vt:lpstr>Digitizer!Channel_ApertureBurstWindow_04</vt:lpstr>
      <vt:lpstr>Digitizer!Channel_ApertureBurstWindow_05</vt:lpstr>
      <vt:lpstr>Digitizer!Channel_ApertureBurstWindow_06</vt:lpstr>
      <vt:lpstr>Digitizer!Channel_ApertureBurstWindow_07</vt:lpstr>
      <vt:lpstr>Digitizer!Channel_ApertureBurstWindow_08</vt:lpstr>
      <vt:lpstr>Digitizer!Channel_ApertureBurstWindow_09</vt:lpstr>
      <vt:lpstr>Digitizer!Channel_ApertureBurstWindow_10</vt:lpstr>
      <vt:lpstr>Digitizer!Channel_ApertureBurstWindow_11</vt:lpstr>
      <vt:lpstr>Digitizer!Channel_ApertureBurstWindow_12</vt:lpstr>
      <vt:lpstr>Digitizer!Channel_ApertureBurstWindow_13</vt:lpstr>
      <vt:lpstr>Digitizer!Channel_ApertureBurstWindow_14</vt:lpstr>
      <vt:lpstr>Digitizer!Channel_ApertureBurstWindow_15</vt:lpstr>
      <vt:lpstr>Digitizer!Channel_ApertureMinSampleRate_01</vt:lpstr>
      <vt:lpstr>Digitizer!Channel_ApertureMinSampleRate_02</vt:lpstr>
      <vt:lpstr>Digitizer!Channel_ApertureMinSampleRate_03</vt:lpstr>
      <vt:lpstr>Digitizer!Channel_ApertureMinSampleRate_04</vt:lpstr>
      <vt:lpstr>Digitizer!Channel_ApertureMinSampleRate_05</vt:lpstr>
      <vt:lpstr>Digitizer!Channel_ApertureMinSampleRate_06</vt:lpstr>
      <vt:lpstr>Digitizer!Channel_ApertureMinSampleRate_07</vt:lpstr>
      <vt:lpstr>Digitizer!Channel_ApertureMinSampleRate_08</vt:lpstr>
      <vt:lpstr>Digitizer!Channel_ApertureMinSampleRate_09</vt:lpstr>
      <vt:lpstr>Digitizer!Channel_ApertureMinSampleRate_10</vt:lpstr>
      <vt:lpstr>Digitizer!Channel_ApertureMinSampleRate_11</vt:lpstr>
      <vt:lpstr>Digitizer!Channel_ApertureMinSampleRate_12</vt:lpstr>
      <vt:lpstr>Digitizer!Channel_ApertureMinSampleRate_13</vt:lpstr>
      <vt:lpstr>Digitizer!Channel_ApertureMinSampleRate_14</vt:lpstr>
      <vt:lpstr>Digitizer!Channel_ApertureMinSampleRate_15</vt:lpstr>
      <vt:lpstr>Digitizer!Channel_ApertureTolerance_01</vt:lpstr>
      <vt:lpstr>Digitizer!Channel_ApertureTolerance_02</vt:lpstr>
      <vt:lpstr>Digitizer!Channel_ApertureTolerance_03</vt:lpstr>
      <vt:lpstr>Digitizer!Channel_ApertureTolerance_04</vt:lpstr>
      <vt:lpstr>Digitizer!Channel_ApertureTolerance_05</vt:lpstr>
      <vt:lpstr>Digitizer!Channel_ApertureTolerance_06</vt:lpstr>
      <vt:lpstr>Digitizer!Channel_ApertureTolerance_07</vt:lpstr>
      <vt:lpstr>Digitizer!Channel_ApertureTolerance_08</vt:lpstr>
      <vt:lpstr>Digitizer!Channel_ApertureTolerance_09</vt:lpstr>
      <vt:lpstr>Digitizer!Channel_ApertureTolerance_10</vt:lpstr>
      <vt:lpstr>Digitizer!Channel_ApertureTolerance_11</vt:lpstr>
      <vt:lpstr>Digitizer!Channel_ApertureTolerance_12</vt:lpstr>
      <vt:lpstr>Digitizer!Channel_ApertureTolerance_13</vt:lpstr>
      <vt:lpstr>Digitizer!Channel_ApertureTolerance_14</vt:lpstr>
      <vt:lpstr>Digitizer!Channel_ApertureTolerance_15</vt:lpstr>
      <vt:lpstr>ARB!Channel_ARB_Gain_02</vt:lpstr>
      <vt:lpstr>Scope!Channel_Attenuation_01</vt:lpstr>
      <vt:lpstr>Scope!Channel_Attenuation_02</vt:lpstr>
      <vt:lpstr>Scope!Channel_Attenuation_03</vt:lpstr>
      <vt:lpstr>Scope!Channel_Attenuation_04</vt:lpstr>
      <vt:lpstr>Scope!Channel_Attenuation_05</vt:lpstr>
      <vt:lpstr>Scope!Channel_Attenuation_06</vt:lpstr>
      <vt:lpstr>Scope!Channel_Attenuation_07</vt:lpstr>
      <vt:lpstr>SpaceWire!Channel_AutoStart_01</vt:lpstr>
      <vt:lpstr>SpaceWire!Channel_AutoStart_02</vt:lpstr>
      <vt:lpstr>Digitizer!Channel_AveragePoints_01</vt:lpstr>
      <vt:lpstr>Digitizer!Channel_AveragePoints_02</vt:lpstr>
      <vt:lpstr>Digitizer!Channel_AveragePoints_03</vt:lpstr>
      <vt:lpstr>Digitizer!Channel_AveragePoints_04</vt:lpstr>
      <vt:lpstr>Digitizer!Channel_AveragePoints_05</vt:lpstr>
      <vt:lpstr>Digitizer!Channel_AveragePoints_06</vt:lpstr>
      <vt:lpstr>Digitizer!Channel_AveragePoints_07</vt:lpstr>
      <vt:lpstr>Digitizer!Channel_AveragePoints_08</vt:lpstr>
      <vt:lpstr>Digitizer!Channel_AveragePoints_09</vt:lpstr>
      <vt:lpstr>Digitizer!Channel_AveragePoints_10</vt:lpstr>
      <vt:lpstr>Digitizer!Channel_AveragePoints_11</vt:lpstr>
      <vt:lpstr>Digitizer!Channel_AveragePoints_12</vt:lpstr>
      <vt:lpstr>Digitizer!Channel_AveragePoints_13</vt:lpstr>
      <vt:lpstr>Digitizer!Channel_AveragePoints_14</vt:lpstr>
      <vt:lpstr>Digitizer!Channel_AveragePoints_15</vt:lpstr>
      <vt:lpstr>'Foundation Bus'!Channel_Bus_01</vt:lpstr>
      <vt:lpstr>ARB!Channel_Channel_Output_01</vt:lpstr>
      <vt:lpstr>ARB!Channel_Channel_Output_02</vt:lpstr>
      <vt:lpstr>Switch!Channel_ComChannel_01</vt:lpstr>
      <vt:lpstr>Switch!Channel_ComChannel_02</vt:lpstr>
      <vt:lpstr>Scope!Channel_Coupling_01</vt:lpstr>
      <vt:lpstr>Scope!Channel_Coupling_02</vt:lpstr>
      <vt:lpstr>Scope!Channel_Coupling_03</vt:lpstr>
      <vt:lpstr>Scope!Channel_Coupling_04</vt:lpstr>
      <vt:lpstr>Scope!Channel_Coupling_05</vt:lpstr>
      <vt:lpstr>Scope!Channel_Coupling_06</vt:lpstr>
      <vt:lpstr>Scope!Channel_Coupling_07</vt:lpstr>
      <vt:lpstr>'DC Power Supply'!Channel_CurrentLimit_01</vt:lpstr>
      <vt:lpstr>'DC Power Supply'!Channel_CurrentLimit_02</vt:lpstr>
      <vt:lpstr>'DC Power Supply'!Channel_CurrentLimit_03</vt:lpstr>
      <vt:lpstr>'DC Power Supply'!Channel_CurrentLimit_04</vt:lpstr>
      <vt:lpstr>'DC Power Supply'!Channel_CurrentLimit_05</vt:lpstr>
      <vt:lpstr>'DC Power Supply'!Channel_CurrentLimit_06</vt:lpstr>
      <vt:lpstr>'DC Power Supply'!Channel_CurrentLimit_07</vt:lpstr>
      <vt:lpstr>'DC Power Supply'!Channel_CurrentLimit_08</vt:lpstr>
      <vt:lpstr>'DC Power Supply'!Channel_CurrentLimit_09</vt:lpstr>
      <vt:lpstr>FPGA!Channel_CycleDuration_01</vt:lpstr>
      <vt:lpstr>Digitizer!Channel_DataReductionMethod_01</vt:lpstr>
      <vt:lpstr>Digitizer!Channel_DataReductionMethod_02</vt:lpstr>
      <vt:lpstr>Digitizer!Channel_DataReductionMethod_03</vt:lpstr>
      <vt:lpstr>Digitizer!Channel_DataReductionMethod_04</vt:lpstr>
      <vt:lpstr>Digitizer!Channel_DataReductionMethod_05</vt:lpstr>
      <vt:lpstr>Digitizer!Channel_DataReductionMethod_06</vt:lpstr>
      <vt:lpstr>Digitizer!Channel_DataReductionMethod_07</vt:lpstr>
      <vt:lpstr>Digitizer!Channel_DataReductionMethod_08</vt:lpstr>
      <vt:lpstr>Digitizer!Channel_DataReductionMethod_09</vt:lpstr>
      <vt:lpstr>Digitizer!Channel_DataReductionMethod_10</vt:lpstr>
      <vt:lpstr>Digitizer!Channel_DataReductionMethod_11</vt:lpstr>
      <vt:lpstr>Digitizer!Channel_DataReductionMethod_12</vt:lpstr>
      <vt:lpstr>Digitizer!Channel_DataReductionMethod_13</vt:lpstr>
      <vt:lpstr>Digitizer!Channel_DataReductionMethod_14</vt:lpstr>
      <vt:lpstr>Digitizer!Channel_DataReductionMethod_15</vt:lpstr>
      <vt:lpstr>Digitizer!Channel_DecimationInterval_01</vt:lpstr>
      <vt:lpstr>Digitizer!Channel_DecimationInterval_02</vt:lpstr>
      <vt:lpstr>Digitizer!Channel_DecimationInterval_03</vt:lpstr>
      <vt:lpstr>Digitizer!Channel_DecimationInterval_04</vt:lpstr>
      <vt:lpstr>Digitizer!Channel_DecimationInterval_05</vt:lpstr>
      <vt:lpstr>Digitizer!Channel_DecimationInterval_06</vt:lpstr>
      <vt:lpstr>Digitizer!Channel_DecimationInterval_07</vt:lpstr>
      <vt:lpstr>Digitizer!Channel_DecimationInterval_08</vt:lpstr>
      <vt:lpstr>Digitizer!Channel_DecimationInterval_09</vt:lpstr>
      <vt:lpstr>Digitizer!Channel_DecimationInterval_10</vt:lpstr>
      <vt:lpstr>Digitizer!Channel_DecimationInterval_11</vt:lpstr>
      <vt:lpstr>Digitizer!Channel_DecimationInterval_12</vt:lpstr>
      <vt:lpstr>Digitizer!Channel_DecimationInterval_13</vt:lpstr>
      <vt:lpstr>Digitizer!Channel_DecimationInterval_14</vt:lpstr>
      <vt:lpstr>Digitizer!Channel_DecimationInterval_15</vt:lpstr>
      <vt:lpstr>ARB!Channel_Description_01</vt:lpstr>
      <vt:lpstr>'DC Power Supply'!Channel_Description_01</vt:lpstr>
      <vt:lpstr>Digitizer!Channel_Description_01</vt:lpstr>
      <vt:lpstr>Example!Channel_Description_01</vt:lpstr>
      <vt:lpstr>'Foundation Bus'!Channel_Description_01</vt:lpstr>
      <vt:lpstr>FPGA!Channel_Description_01</vt:lpstr>
      <vt:lpstr>Scope!Channel_Description_01</vt:lpstr>
      <vt:lpstr>SpaceWire!Channel_Description_01</vt:lpstr>
      <vt:lpstr>Switch!Channel_Description_01</vt:lpstr>
      <vt:lpstr>Synchronization!Channel_Description_01</vt:lpstr>
      <vt:lpstr>ARB!Channel_Description_02</vt:lpstr>
      <vt:lpstr>'DC Power Supply'!Channel_Description_02</vt:lpstr>
      <vt:lpstr>Digitizer!Channel_Description_02</vt:lpstr>
      <vt:lpstr>FPGA!Channel_Description_02</vt:lpstr>
      <vt:lpstr>Scope!Channel_Description_02</vt:lpstr>
      <vt:lpstr>SpaceWire!Channel_Description_02</vt:lpstr>
      <vt:lpstr>Switch!Channel_Description_02</vt:lpstr>
      <vt:lpstr>Synchronization!Channel_Description_02</vt:lpstr>
      <vt:lpstr>ARB!Channel_Description_03</vt:lpstr>
      <vt:lpstr>'DC Power Supply'!Channel_Description_03</vt:lpstr>
      <vt:lpstr>Digitizer!Channel_Description_03</vt:lpstr>
      <vt:lpstr>FPGA!Channel_Description_03</vt:lpstr>
      <vt:lpstr>Scope!Channel_Description_03</vt:lpstr>
      <vt:lpstr>'DC Power Supply'!Channel_Description_04</vt:lpstr>
      <vt:lpstr>Digitizer!Channel_Description_04</vt:lpstr>
      <vt:lpstr>Scope!Channel_Description_04</vt:lpstr>
      <vt:lpstr>'DC Power Supply'!Channel_Description_05</vt:lpstr>
      <vt:lpstr>Digitizer!Channel_Description_05</vt:lpstr>
      <vt:lpstr>Scope!Channel_Description_05</vt:lpstr>
      <vt:lpstr>'DC Power Supply'!Channel_Description_06</vt:lpstr>
      <vt:lpstr>Digitizer!Channel_Description_06</vt:lpstr>
      <vt:lpstr>Scope!Channel_Description_06</vt:lpstr>
      <vt:lpstr>'DC Power Supply'!Channel_Description_07</vt:lpstr>
      <vt:lpstr>Digitizer!Channel_Description_07</vt:lpstr>
      <vt:lpstr>Scope!Channel_Description_07</vt:lpstr>
      <vt:lpstr>'DC Power Supply'!Channel_Description_08</vt:lpstr>
      <vt:lpstr>Digitizer!Channel_Description_08</vt:lpstr>
      <vt:lpstr>'DC Power Supply'!Channel_Description_09</vt:lpstr>
      <vt:lpstr>Digitizer!Channel_Description_09</vt:lpstr>
      <vt:lpstr>Digitizer!Channel_Description_10</vt:lpstr>
      <vt:lpstr>Digitizer!Channel_Description_11</vt:lpstr>
      <vt:lpstr>Digitizer!Channel_Description_12</vt:lpstr>
      <vt:lpstr>Digitizer!Channel_Description_13</vt:lpstr>
      <vt:lpstr>Digitizer!Channel_Description_14</vt:lpstr>
      <vt:lpstr>Digitizer!Channel_Description_15</vt:lpstr>
      <vt:lpstr>Synchronization!Channel_Destination_01</vt:lpstr>
      <vt:lpstr>Synchronization!Channel_Destination_02</vt:lpstr>
      <vt:lpstr>Switch!Channel_Direction_02</vt:lpstr>
      <vt:lpstr>ARB!Channel_Duty_Cycle_01</vt:lpstr>
      <vt:lpstr>Switch!Channel_Edge_02</vt:lpstr>
      <vt:lpstr>ARB!Channel_Enabled_01</vt:lpstr>
      <vt:lpstr>'DC Power Supply'!Channel_Enabled_01</vt:lpstr>
      <vt:lpstr>Digitizer!Channel_Enabled_01</vt:lpstr>
      <vt:lpstr>Example!Channel_Enabled_01</vt:lpstr>
      <vt:lpstr>'Foundation Bus'!Channel_Enabled_01</vt:lpstr>
      <vt:lpstr>FPGA!Channel_Enabled_01</vt:lpstr>
      <vt:lpstr>Scope!Channel_Enabled_01</vt:lpstr>
      <vt:lpstr>SpaceWire!Channel_Enabled_01</vt:lpstr>
      <vt:lpstr>Switch!Channel_Enabled_01</vt:lpstr>
      <vt:lpstr>Synchronization!Channel_Enabled_01</vt:lpstr>
      <vt:lpstr>ARB!Channel_Enabled_02</vt:lpstr>
      <vt:lpstr>'DC Power Supply'!Channel_Enabled_02</vt:lpstr>
      <vt:lpstr>Digitizer!Channel_Enabled_02</vt:lpstr>
      <vt:lpstr>FPGA!Channel_Enabled_02</vt:lpstr>
      <vt:lpstr>Scope!Channel_Enabled_02</vt:lpstr>
      <vt:lpstr>SpaceWire!Channel_Enabled_02</vt:lpstr>
      <vt:lpstr>Switch!Channel_Enabled_02</vt:lpstr>
      <vt:lpstr>Synchronization!Channel_Enabled_02</vt:lpstr>
      <vt:lpstr>ARB!Channel_Enabled_03</vt:lpstr>
      <vt:lpstr>'DC Power Supply'!Channel_Enabled_03</vt:lpstr>
      <vt:lpstr>Digitizer!Channel_Enabled_03</vt:lpstr>
      <vt:lpstr>FPGA!Channel_Enabled_03</vt:lpstr>
      <vt:lpstr>Scope!Channel_Enabled_03</vt:lpstr>
      <vt:lpstr>'DC Power Supply'!Channel_Enabled_04</vt:lpstr>
      <vt:lpstr>Digitizer!Channel_Enabled_04</vt:lpstr>
      <vt:lpstr>Scope!Channel_Enabled_04</vt:lpstr>
      <vt:lpstr>'DC Power Supply'!Channel_Enabled_05</vt:lpstr>
      <vt:lpstr>Digitizer!Channel_Enabled_05</vt:lpstr>
      <vt:lpstr>Scope!Channel_Enabled_05</vt:lpstr>
      <vt:lpstr>'DC Power Supply'!Channel_Enabled_06</vt:lpstr>
      <vt:lpstr>Digitizer!Channel_Enabled_06</vt:lpstr>
      <vt:lpstr>Scope!Channel_Enabled_06</vt:lpstr>
      <vt:lpstr>'DC Power Supply'!Channel_Enabled_07</vt:lpstr>
      <vt:lpstr>Digitizer!Channel_Enabled_07</vt:lpstr>
      <vt:lpstr>Scope!Channel_Enabled_07</vt:lpstr>
      <vt:lpstr>'DC Power Supply'!Channel_Enabled_08</vt:lpstr>
      <vt:lpstr>Digitizer!Channel_Enabled_08</vt:lpstr>
      <vt:lpstr>'DC Power Supply'!Channel_Enabled_09</vt:lpstr>
      <vt:lpstr>Digitizer!Channel_Enabled_09</vt:lpstr>
      <vt:lpstr>Digitizer!Channel_Enabled_10</vt:lpstr>
      <vt:lpstr>Digitizer!Channel_Enabled_11</vt:lpstr>
      <vt:lpstr>Digitizer!Channel_Enabled_12</vt:lpstr>
      <vt:lpstr>Digitizer!Channel_Enabled_13</vt:lpstr>
      <vt:lpstr>Digitizer!Channel_Enabled_14</vt:lpstr>
      <vt:lpstr>Digitizer!Channel_Enabled_15</vt:lpstr>
      <vt:lpstr>'DC Power Supply'!Channel_FallRate_01</vt:lpstr>
      <vt:lpstr>'DC Power Supply'!Channel_FallRate_02</vt:lpstr>
      <vt:lpstr>'DC Power Supply'!Channel_FallRate_03</vt:lpstr>
      <vt:lpstr>'DC Power Supply'!Channel_FallRate_04</vt:lpstr>
      <vt:lpstr>'DC Power Supply'!Channel_FallRate_05</vt:lpstr>
      <vt:lpstr>'DC Power Supply'!Channel_FallRate_06</vt:lpstr>
      <vt:lpstr>'DC Power Supply'!Channel_FallRate_07</vt:lpstr>
      <vt:lpstr>'DC Power Supply'!Channel_FallRate_08</vt:lpstr>
      <vt:lpstr>'DC Power Supply'!Channel_FallRate_09</vt:lpstr>
      <vt:lpstr>ARB!Channel_FSI_01</vt:lpstr>
      <vt:lpstr>Scope!Channel_Gain_01</vt:lpstr>
      <vt:lpstr>Scope!Channel_Gain_02</vt:lpstr>
      <vt:lpstr>Scope!Channel_Gain_03</vt:lpstr>
      <vt:lpstr>Scope!Channel_Gain_04</vt:lpstr>
      <vt:lpstr>Scope!Channel_Gain_05</vt:lpstr>
      <vt:lpstr>Scope!Channel_Gain_06</vt:lpstr>
      <vt:lpstr>Scope!Channel_Gain_07</vt:lpstr>
      <vt:lpstr>Scope!Channel_Impedance_01</vt:lpstr>
      <vt:lpstr>ARB!Channel_Impedance_02</vt:lpstr>
      <vt:lpstr>Scope!Channel_Impedance_02</vt:lpstr>
      <vt:lpstr>Scope!Channel_Impedance_03</vt:lpstr>
      <vt:lpstr>Scope!Channel_Impedance_04</vt:lpstr>
      <vt:lpstr>Scope!Channel_Impedance_05</vt:lpstr>
      <vt:lpstr>Scope!Channel_Impedance_06</vt:lpstr>
      <vt:lpstr>Scope!Channel_Impedance_07</vt:lpstr>
      <vt:lpstr>Switch!Channel_InitialState_01</vt:lpstr>
      <vt:lpstr>Switch!Channel_InitialState_02</vt:lpstr>
      <vt:lpstr>'Foundation Bus'!Channel_InternalHub_01</vt:lpstr>
      <vt:lpstr>SpaceWire!Channel_InternalTrigger_01</vt:lpstr>
      <vt:lpstr>SpaceWire!Channel_InternalTrigger_02</vt:lpstr>
      <vt:lpstr>Synchronization!Channel_Invert_01</vt:lpstr>
      <vt:lpstr>Synchronization!Channel_Invert_02</vt:lpstr>
      <vt:lpstr>'DC Power Supply'!Channel_LimitBehavior_01</vt:lpstr>
      <vt:lpstr>'DC Power Supply'!Channel_LimitBehavior_02</vt:lpstr>
      <vt:lpstr>'DC Power Supply'!Channel_LimitBehavior_03</vt:lpstr>
      <vt:lpstr>'DC Power Supply'!Channel_LimitBehavior_04</vt:lpstr>
      <vt:lpstr>'DC Power Supply'!Channel_LimitBehavior_05</vt:lpstr>
      <vt:lpstr>Digitizer!Channel_LowpassCutoffFreq_01</vt:lpstr>
      <vt:lpstr>Digitizer!Channel_LowpassCutoffFreq_02</vt:lpstr>
      <vt:lpstr>Digitizer!Channel_LowpassCutoffFreq_03</vt:lpstr>
      <vt:lpstr>Digitizer!Channel_LowpassCutoffFreq_04</vt:lpstr>
      <vt:lpstr>Digitizer!Channel_LowpassCutoffFreq_05</vt:lpstr>
      <vt:lpstr>Digitizer!Channel_LowpassCutoffFreq_06</vt:lpstr>
      <vt:lpstr>Digitizer!Channel_LowpassCutoffFreq_07</vt:lpstr>
      <vt:lpstr>Digitizer!Channel_LowpassCutoffFreq_08</vt:lpstr>
      <vt:lpstr>Digitizer!Channel_LowpassCutoffFreq_09</vt:lpstr>
      <vt:lpstr>Digitizer!Channel_LowpassCutoffFreq_10</vt:lpstr>
      <vt:lpstr>Digitizer!Channel_LowpassCutoffFreq_11</vt:lpstr>
      <vt:lpstr>Digitizer!Channel_LowpassCutoffFreq_12</vt:lpstr>
      <vt:lpstr>Digitizer!Channel_LowpassCutoffFreq_13</vt:lpstr>
      <vt:lpstr>Digitizer!Channel_LowpassCutoffFreq_14</vt:lpstr>
      <vt:lpstr>Digitizer!Channel_LowpassCutoffFreq_15</vt:lpstr>
      <vt:lpstr>Digitizer!Channel_MaxV_01</vt:lpstr>
      <vt:lpstr>Digitizer!Channel_MaxV_02</vt:lpstr>
      <vt:lpstr>Digitizer!Channel_MaxV_03</vt:lpstr>
      <vt:lpstr>Digitizer!Channel_MaxV_04</vt:lpstr>
      <vt:lpstr>Digitizer!Channel_MaxV_05</vt:lpstr>
      <vt:lpstr>Digitizer!Channel_MaxV_06</vt:lpstr>
      <vt:lpstr>Digitizer!Channel_MaxV_07</vt:lpstr>
      <vt:lpstr>Digitizer!Channel_MaxV_08</vt:lpstr>
      <vt:lpstr>Digitizer!Channel_MaxV_09</vt:lpstr>
      <vt:lpstr>Digitizer!Channel_MaxV_10</vt:lpstr>
      <vt:lpstr>Digitizer!Channel_MaxV_11</vt:lpstr>
      <vt:lpstr>Digitizer!Channel_MaxV_12</vt:lpstr>
      <vt:lpstr>Digitizer!Channel_MaxV_13</vt:lpstr>
      <vt:lpstr>Digitizer!Channel_MaxV_14</vt:lpstr>
      <vt:lpstr>Digitizer!Channel_MaxV_15</vt:lpstr>
      <vt:lpstr>Digitizer!Channel_MinV_01</vt:lpstr>
      <vt:lpstr>Digitizer!Channel_MinV_02</vt:lpstr>
      <vt:lpstr>Digitizer!Channel_MinV_03</vt:lpstr>
      <vt:lpstr>Digitizer!Channel_MinV_04</vt:lpstr>
      <vt:lpstr>Digitizer!Channel_MinV_05</vt:lpstr>
      <vt:lpstr>Digitizer!Channel_MinV_06</vt:lpstr>
      <vt:lpstr>Digitizer!Channel_MinV_07</vt:lpstr>
      <vt:lpstr>Digitizer!Channel_MinV_08</vt:lpstr>
      <vt:lpstr>Digitizer!Channel_MinV_09</vt:lpstr>
      <vt:lpstr>Digitizer!Channel_MinV_10</vt:lpstr>
      <vt:lpstr>Digitizer!Channel_MinV_11</vt:lpstr>
      <vt:lpstr>Digitizer!Channel_MinV_12</vt:lpstr>
      <vt:lpstr>Digitizer!Channel_MinV_13</vt:lpstr>
      <vt:lpstr>Digitizer!Channel_MinV_14</vt:lpstr>
      <vt:lpstr>Digitizer!Channel_MinV_15</vt:lpstr>
      <vt:lpstr>FPGA!Channel_OffDuration_01</vt:lpstr>
      <vt:lpstr>FPGA!Channel_Offset_01</vt:lpstr>
      <vt:lpstr>Scope!Channel_Offset_01</vt:lpstr>
      <vt:lpstr>ARB!Channel_Offset_02</vt:lpstr>
      <vt:lpstr>Scope!Channel_Offset_02</vt:lpstr>
      <vt:lpstr>Scope!Channel_Offset_03</vt:lpstr>
      <vt:lpstr>Scope!Channel_Offset_04</vt:lpstr>
      <vt:lpstr>Scope!Channel_Offset_05</vt:lpstr>
      <vt:lpstr>Scope!Channel_Offset_06</vt:lpstr>
      <vt:lpstr>Scope!Channel_Offset_07</vt:lpstr>
      <vt:lpstr>ARB!Channel_Output_Enabled_02</vt:lpstr>
      <vt:lpstr>ARB!Channel_Output_Mode_02</vt:lpstr>
      <vt:lpstr>'DC Power Supply'!Channel_OutputControl_01</vt:lpstr>
      <vt:lpstr>'DC Power Supply'!Channel_OutputControl_02</vt:lpstr>
      <vt:lpstr>'DC Power Supply'!Channel_OutputControl_03</vt:lpstr>
      <vt:lpstr>'DC Power Supply'!Channel_OutputControl_04</vt:lpstr>
      <vt:lpstr>'DC Power Supply'!Channel_OutputControl_05</vt:lpstr>
      <vt:lpstr>'DC Power Supply'!Channel_OutputControl_06</vt:lpstr>
      <vt:lpstr>'DC Power Supply'!Channel_OutputControl_07</vt:lpstr>
      <vt:lpstr>'DC Power Supply'!Channel_OutputControl_08</vt:lpstr>
      <vt:lpstr>'DC Power Supply'!Channel_OutputControl_09</vt:lpstr>
      <vt:lpstr>'DC Power Supply'!Channel_OutputControlPin_01</vt:lpstr>
      <vt:lpstr>'DC Power Supply'!Channel_OutputControlPin_02</vt:lpstr>
      <vt:lpstr>'DC Power Supply'!Channel_OutputControlPin_03</vt:lpstr>
      <vt:lpstr>'DC Power Supply'!Channel_OutputControlPin_04</vt:lpstr>
      <vt:lpstr>'DC Power Supply'!Channel_OutputControlPin_05</vt:lpstr>
      <vt:lpstr>'DC Power Supply'!Channel_OutputControlPin_06</vt:lpstr>
      <vt:lpstr>'DC Power Supply'!Channel_OutputControlPin_07</vt:lpstr>
      <vt:lpstr>'DC Power Supply'!Channel_OutputControlPin_08</vt:lpstr>
      <vt:lpstr>'DC Power Supply'!Channel_OutputControlPin_09</vt:lpstr>
      <vt:lpstr>'DC Power Supply'!Channel_OutputEnabled_01</vt:lpstr>
      <vt:lpstr>'DC Power Supply'!Channel_OutputEnabled_02</vt:lpstr>
      <vt:lpstr>'DC Power Supply'!Channel_OutputEnabled_03</vt:lpstr>
      <vt:lpstr>'DC Power Supply'!Channel_OutputEnabled_04</vt:lpstr>
      <vt:lpstr>'DC Power Supply'!Channel_OutputEnabled_05</vt:lpstr>
      <vt:lpstr>'DC Power Supply'!Channel_OutputEnabled_06</vt:lpstr>
      <vt:lpstr>'DC Power Supply'!Channel_OutputEnabled_07</vt:lpstr>
      <vt:lpstr>'DC Power Supply'!Channel_OutputEnabled_08</vt:lpstr>
      <vt:lpstr>'DC Power Supply'!Channel_OutputEnabled_09</vt:lpstr>
      <vt:lpstr>SpaceWire!Channel_Payload_Bytes_01</vt:lpstr>
      <vt:lpstr>SpaceWire!Channel_Payload_Bytes_02</vt:lpstr>
      <vt:lpstr>Digitizer!Channel_PolyFactor_01</vt:lpstr>
      <vt:lpstr>Digitizer!Channel_PolyFactor_02</vt:lpstr>
      <vt:lpstr>Digitizer!Channel_PolyFactor_03</vt:lpstr>
      <vt:lpstr>Digitizer!Channel_PolyFactor_04</vt:lpstr>
      <vt:lpstr>Digitizer!Channel_PolyFactor_05</vt:lpstr>
      <vt:lpstr>Digitizer!Channel_PolyFactor_06</vt:lpstr>
      <vt:lpstr>Digitizer!Channel_PolyFactor_07</vt:lpstr>
      <vt:lpstr>Digitizer!Channel_PolyFactor_08</vt:lpstr>
      <vt:lpstr>Digitizer!Channel_PolyFactor_09</vt:lpstr>
      <vt:lpstr>Digitizer!Channel_PolyFactor_10</vt:lpstr>
      <vt:lpstr>Digitizer!Channel_PolyFactor_11</vt:lpstr>
      <vt:lpstr>Digitizer!Channel_PolyFactor_12</vt:lpstr>
      <vt:lpstr>Digitizer!Channel_PolyFactor_13</vt:lpstr>
      <vt:lpstr>Digitizer!Channel_PolyFactor_14</vt:lpstr>
      <vt:lpstr>Digitizer!Channel_PolyFactor_15</vt:lpstr>
      <vt:lpstr>SpaceWire!Channel_Port_Action_Tx_Packet_01</vt:lpstr>
      <vt:lpstr>SpaceWire!Channel_Port_Action_Tx_Packet_02</vt:lpstr>
      <vt:lpstr>'DC Power Supply'!Channel_PreTestI_01</vt:lpstr>
      <vt:lpstr>'DC Power Supply'!Channel_PreTestI_02</vt:lpstr>
      <vt:lpstr>'DC Power Supply'!Channel_PreTestI_03</vt:lpstr>
      <vt:lpstr>'DC Power Supply'!Channel_PreTestI_04</vt:lpstr>
      <vt:lpstr>'DC Power Supply'!Channel_PreTestI_05</vt:lpstr>
      <vt:lpstr>'DC Power Supply'!Channel_PreTestI_06</vt:lpstr>
      <vt:lpstr>'DC Power Supply'!Channel_PreTestI_07</vt:lpstr>
      <vt:lpstr>'DC Power Supply'!Channel_PreTestI_08</vt:lpstr>
      <vt:lpstr>'DC Power Supply'!Channel_PreTestI_09</vt:lpstr>
      <vt:lpstr>'DC Power Supply'!Channel_PreTestV_01</vt:lpstr>
      <vt:lpstr>'DC Power Supply'!Channel_PreTestV_02</vt:lpstr>
      <vt:lpstr>'DC Power Supply'!Channel_PreTestV_03</vt:lpstr>
      <vt:lpstr>'DC Power Supply'!Channel_PreTestV_04</vt:lpstr>
      <vt:lpstr>'DC Power Supply'!Channel_PreTestV_05</vt:lpstr>
      <vt:lpstr>'DC Power Supply'!Channel_PreTestV_06</vt:lpstr>
      <vt:lpstr>'DC Power Supply'!Channel_PreTestV_07</vt:lpstr>
      <vt:lpstr>'DC Power Supply'!Channel_PreTestV_08</vt:lpstr>
      <vt:lpstr>'DC Power Supply'!Channel_PreTestV_09</vt:lpstr>
      <vt:lpstr>'DC Power Supply'!Channel_RiseRate_01</vt:lpstr>
      <vt:lpstr>'DC Power Supply'!Channel_RiseRate_02</vt:lpstr>
      <vt:lpstr>'DC Power Supply'!Channel_RiseRate_03</vt:lpstr>
      <vt:lpstr>'DC Power Supply'!Channel_RiseRate_04</vt:lpstr>
      <vt:lpstr>'DC Power Supply'!Channel_RiseRate_05</vt:lpstr>
      <vt:lpstr>'DC Power Supply'!Channel_RiseRate_06</vt:lpstr>
      <vt:lpstr>'DC Power Supply'!Channel_RiseRate_07</vt:lpstr>
      <vt:lpstr>'DC Power Supply'!Channel_RiseRate_08</vt:lpstr>
      <vt:lpstr>'DC Power Supply'!Channel_RiseRate_09</vt:lpstr>
      <vt:lpstr>ARB!Channel_Sample_02</vt:lpstr>
      <vt:lpstr>ARB!Channel_Sample_Rate_02</vt:lpstr>
      <vt:lpstr>ARB!Channel_SCRUB_Launch_01</vt:lpstr>
      <vt:lpstr>Synchronization!Channel_SoftwareTrigDelay_01</vt:lpstr>
      <vt:lpstr>Synchronization!Channel_SoftwareTrigDelay_02</vt:lpstr>
      <vt:lpstr>Synchronization!Channel_Source_01</vt:lpstr>
      <vt:lpstr>Synchronization!Channel_Source_02</vt:lpstr>
      <vt:lpstr>'Foundation Bus'!Channel_Speed_01</vt:lpstr>
      <vt:lpstr>'DC Power Supply'!Channel_StartTime_01</vt:lpstr>
      <vt:lpstr>'DC Power Supply'!Channel_StartTime_02</vt:lpstr>
      <vt:lpstr>'DC Power Supply'!Channel_StartTime_03</vt:lpstr>
      <vt:lpstr>'DC Power Supply'!Channel_StartTime_04</vt:lpstr>
      <vt:lpstr>'DC Power Supply'!Channel_StartTime_05</vt:lpstr>
      <vt:lpstr>'DC Power Supply'!Channel_StartTime_06</vt:lpstr>
      <vt:lpstr>'DC Power Supply'!Channel_StartTime_07</vt:lpstr>
      <vt:lpstr>'DC Power Supply'!Channel_StartTime_08</vt:lpstr>
      <vt:lpstr>'DC Power Supply'!Channel_StartTime_09</vt:lpstr>
      <vt:lpstr>'DC Power Supply'!Channel_StopTime_0</vt:lpstr>
      <vt:lpstr>'DC Power Supply'!Channel_StopTime_01</vt:lpstr>
      <vt:lpstr>'DC Power Supply'!Channel_StopTime_02</vt:lpstr>
      <vt:lpstr>'DC Power Supply'!Channel_StopTime_03</vt:lpstr>
      <vt:lpstr>'DC Power Supply'!Channel_StopTime_04</vt:lpstr>
      <vt:lpstr>'DC Power Supply'!Channel_StopTime_05</vt:lpstr>
      <vt:lpstr>'DC Power Supply'!Channel_StopTime_07</vt:lpstr>
      <vt:lpstr>'DC Power Supply'!Channel_StopTime_08</vt:lpstr>
      <vt:lpstr>'DC Power Supply'!Channel_StopTime_09</vt:lpstr>
      <vt:lpstr>Synchronization!Channel_SynchronizationClock_01</vt:lpstr>
      <vt:lpstr>Synchronization!Channel_SynchronizationClock_02</vt:lpstr>
      <vt:lpstr>ARB!Channel_TMTO_Launch_01</vt:lpstr>
      <vt:lpstr>ARB!Channel_TMTO_Launch_Delay_01</vt:lpstr>
      <vt:lpstr>ARB!Channel_TMTO_Pre_Launch_01</vt:lpstr>
      <vt:lpstr>ARB!Channel_TMTO_Sequence_Frequency_01</vt:lpstr>
      <vt:lpstr>Switch!Channel_TransitionTimes_01</vt:lpstr>
      <vt:lpstr>Switch!Channel_TransitionTimes_02</vt:lpstr>
      <vt:lpstr>ARB!Channel_Trigger_02</vt:lpstr>
      <vt:lpstr>SpaceWire!Channel_Trigger_on_Timecode_01</vt:lpstr>
      <vt:lpstr>SpaceWire!Channel_Trigger_on_Timecode_02</vt:lpstr>
      <vt:lpstr>'DC Power Supply'!Channel_TriggerSource_01</vt:lpstr>
      <vt:lpstr>'DC Power Supply'!Channel_TriggerSource_02</vt:lpstr>
      <vt:lpstr>'DC Power Supply'!Channel_TriggerSource_03</vt:lpstr>
      <vt:lpstr>'DC Power Supply'!Channel_TriggerSource_04</vt:lpstr>
      <vt:lpstr>'DC Power Supply'!Channel_TriggerSource_05</vt:lpstr>
      <vt:lpstr>SpaceWire!Channel_TriState_01</vt:lpstr>
      <vt:lpstr>SpaceWire!Channel_TriState_02</vt:lpstr>
      <vt:lpstr>SpaceWire!Channel_TxClkDivisor_01</vt:lpstr>
      <vt:lpstr>SpaceWire!Channel_TxClkDivisor_02</vt:lpstr>
      <vt:lpstr>SpaceWire!Channel_TxClkMultiplier_01</vt:lpstr>
      <vt:lpstr>SpaceWire!Channel_TxClkMultiplier_02</vt:lpstr>
      <vt:lpstr>FPGA!Channel_Type_01</vt:lpstr>
      <vt:lpstr>Synchronization!Channel_Type_01</vt:lpstr>
      <vt:lpstr>Synchronization!Channel_Type_02</vt:lpstr>
      <vt:lpstr>Digitizer!Channel_Unit_01</vt:lpstr>
      <vt:lpstr>Digitizer!Channel_Unit_02</vt:lpstr>
      <vt:lpstr>Digitizer!Channel_Unit_03</vt:lpstr>
      <vt:lpstr>Digitizer!Channel_Unit_04</vt:lpstr>
      <vt:lpstr>Digitizer!Channel_Unit_05</vt:lpstr>
      <vt:lpstr>Digitizer!Channel_Unit_06</vt:lpstr>
      <vt:lpstr>Digitizer!Channel_Unit_07</vt:lpstr>
      <vt:lpstr>Digitizer!Channel_Unit_08</vt:lpstr>
      <vt:lpstr>Digitizer!Channel_Unit_09</vt:lpstr>
      <vt:lpstr>Digitizer!Channel_Unit_10</vt:lpstr>
      <vt:lpstr>Digitizer!Channel_Unit_11</vt:lpstr>
      <vt:lpstr>Digitizer!Channel_Unit_12</vt:lpstr>
      <vt:lpstr>Digitizer!Channel_Unit_13</vt:lpstr>
      <vt:lpstr>Digitizer!Channel_Unit_14</vt:lpstr>
      <vt:lpstr>Digitizer!Channel_Unit_15</vt:lpstr>
      <vt:lpstr>Digitizer!Channel_Unit_33</vt:lpstr>
      <vt:lpstr>Digitizer!Channel_Unit_34</vt:lpstr>
      <vt:lpstr>Digitizer!Channel_Unit_35</vt:lpstr>
      <vt:lpstr>Digitizer!Channel_Unit_36</vt:lpstr>
      <vt:lpstr>Digitizer!Channel_Unit_37</vt:lpstr>
      <vt:lpstr>Digitizer!Channel_Unit_38</vt:lpstr>
      <vt:lpstr>Digitizer!Channel_Unit_39</vt:lpstr>
      <vt:lpstr>Digitizer!Channel_Unit_40</vt:lpstr>
      <vt:lpstr>Digitizer!Channel_Unit_41</vt:lpstr>
      <vt:lpstr>Digitizer!Channel_Unit_42</vt:lpstr>
      <vt:lpstr>Digitizer!Channel_Unit_43</vt:lpstr>
      <vt:lpstr>Digitizer!Channel_Unit_44</vt:lpstr>
      <vt:lpstr>Digitizer!Channel_Unit_45</vt:lpstr>
      <vt:lpstr>Digitizer!Channel_Unit_46</vt:lpstr>
      <vt:lpstr>Digitizer!Channel_Unit_47</vt:lpstr>
      <vt:lpstr>Digitizer!Channel_Unit_65</vt:lpstr>
      <vt:lpstr>Digitizer!Channel_Unit_66</vt:lpstr>
      <vt:lpstr>Digitizer!Channel_Unit_67</vt:lpstr>
      <vt:lpstr>Digitizer!Channel_Unit_68</vt:lpstr>
      <vt:lpstr>Digitizer!Channel_Unit_69</vt:lpstr>
      <vt:lpstr>Digitizer!Channel_Unit_70</vt:lpstr>
      <vt:lpstr>Digitizer!Channel_Unit_71</vt:lpstr>
      <vt:lpstr>Digitizer!Channel_Unit_72</vt:lpstr>
      <vt:lpstr>Digitizer!Channel_Unit_73</vt:lpstr>
      <vt:lpstr>Digitizer!Channel_Unit_74</vt:lpstr>
      <vt:lpstr>Digitizer!Channel_Unit_75</vt:lpstr>
      <vt:lpstr>Digitizer!Channel_Unit_76</vt:lpstr>
      <vt:lpstr>Digitizer!Channel_Unit_77</vt:lpstr>
      <vt:lpstr>Digitizer!Channel_Unit_78</vt:lpstr>
      <vt:lpstr>Digitizer!Channel_Unit_79</vt:lpstr>
      <vt:lpstr>Digitizer!Channel_Units_01</vt:lpstr>
      <vt:lpstr>Scope!Channel_Units_01</vt:lpstr>
      <vt:lpstr>Digitizer!Channel_Units_02</vt:lpstr>
      <vt:lpstr>Scope!Channel_Units_02</vt:lpstr>
      <vt:lpstr>Digitizer!Channel_Units_03</vt:lpstr>
      <vt:lpstr>Scope!Channel_Units_03</vt:lpstr>
      <vt:lpstr>Digitizer!Channel_Units_04</vt:lpstr>
      <vt:lpstr>Scope!Channel_Units_04</vt:lpstr>
      <vt:lpstr>Digitizer!Channel_Units_05</vt:lpstr>
      <vt:lpstr>Scope!Channel_Units_05</vt:lpstr>
      <vt:lpstr>Digitizer!Channel_Units_06</vt:lpstr>
      <vt:lpstr>Scope!Channel_Units_06</vt:lpstr>
      <vt:lpstr>Digitizer!Channel_Units_07</vt:lpstr>
      <vt:lpstr>Scope!Channel_Units_07</vt:lpstr>
      <vt:lpstr>Digitizer!Channel_Units_08</vt:lpstr>
      <vt:lpstr>Digitizer!Channel_Units_09</vt:lpstr>
      <vt:lpstr>Digitizer!Channel_Units_10</vt:lpstr>
      <vt:lpstr>Digitizer!Channel_Units_11</vt:lpstr>
      <vt:lpstr>Digitizer!Channel_Units_12</vt:lpstr>
      <vt:lpstr>Digitizer!Channel_Units_13</vt:lpstr>
      <vt:lpstr>Digitizer!Channel_Units_14</vt:lpstr>
      <vt:lpstr>Digitizer!Channel_Units_15</vt:lpstr>
      <vt:lpstr>Digitizer!Channel_Units_32</vt:lpstr>
      <vt:lpstr>Digitizer!Channel_Units_33</vt:lpstr>
      <vt:lpstr>Digitizer!Channel_Units_34</vt:lpstr>
      <vt:lpstr>Synchronization!Channel_UpdateEdge_01</vt:lpstr>
      <vt:lpstr>Synchronization!Channel_UpdateEdge_02</vt:lpstr>
      <vt:lpstr>Scope!Channel_VOffset_01</vt:lpstr>
      <vt:lpstr>Scope!Channel_VOffset_02</vt:lpstr>
      <vt:lpstr>Scope!Channel_VOffset_03</vt:lpstr>
      <vt:lpstr>Scope!Channel_VOffset_04</vt:lpstr>
      <vt:lpstr>Scope!Channel_VOffset_05</vt:lpstr>
      <vt:lpstr>Scope!Channel_VOffset_06</vt:lpstr>
      <vt:lpstr>Scope!Channel_VOffset_07</vt:lpstr>
      <vt:lpstr>'DC Power Supply'!Channel_VoltageHigh_01</vt:lpstr>
      <vt:lpstr>'DC Power Supply'!Channel_VoltageHigh_02</vt:lpstr>
      <vt:lpstr>'DC Power Supply'!Channel_VoltageHigh_03</vt:lpstr>
      <vt:lpstr>'DC Power Supply'!Channel_VoltageHigh_04</vt:lpstr>
      <vt:lpstr>'DC Power Supply'!Channel_VoltageHigh_05</vt:lpstr>
      <vt:lpstr>'DC Power Supply'!Channel_VoltageHigh_06</vt:lpstr>
      <vt:lpstr>'DC Power Supply'!Channel_VoltageHigh_07</vt:lpstr>
      <vt:lpstr>'DC Power Supply'!Channel_VoltageHigh_08</vt:lpstr>
      <vt:lpstr>'DC Power Supply'!Channel_VoltageHigh_09</vt:lpstr>
      <vt:lpstr>'DC Power Supply'!Channel_VoltageLow_01</vt:lpstr>
      <vt:lpstr>'DC Power Supply'!Channel_VoltageLow_02</vt:lpstr>
      <vt:lpstr>'DC Power Supply'!Channel_VoltageLow_03</vt:lpstr>
      <vt:lpstr>'DC Power Supply'!Channel_VoltageLow_04</vt:lpstr>
      <vt:lpstr>'DC Power Supply'!Channel_VoltageLow_05</vt:lpstr>
      <vt:lpstr>'DC Power Supply'!Channel_VoltageLow_06</vt:lpstr>
      <vt:lpstr>'DC Power Supply'!Channel_VoltageLow_07</vt:lpstr>
      <vt:lpstr>'DC Power Supply'!Channel_VoltageLow_08</vt:lpstr>
      <vt:lpstr>'DC Power Supply'!Channel_VoltageLow_09</vt:lpstr>
      <vt:lpstr>'DC Power Supply'!Channel_VoltageNom_01</vt:lpstr>
      <vt:lpstr>'DC Power Supply'!Channel_VoltageNom_02</vt:lpstr>
      <vt:lpstr>'DC Power Supply'!Channel_VoltageNom_03</vt:lpstr>
      <vt:lpstr>'DC Power Supply'!Channel_VoltageNom_04</vt:lpstr>
      <vt:lpstr>'DC Power Supply'!Channel_VoltageNom_05</vt:lpstr>
      <vt:lpstr>'DC Power Supply'!Channel_VoltageNom_06</vt:lpstr>
      <vt:lpstr>'DC Power Supply'!Channel_VoltageNom_07</vt:lpstr>
      <vt:lpstr>'DC Power Supply'!Channel_VoltageNom_08</vt:lpstr>
      <vt:lpstr>'DC Power Supply'!Channel_VoltageNom_09</vt:lpstr>
      <vt:lpstr>Scope!Channel_VRange_01</vt:lpstr>
      <vt:lpstr>Scope!Channel_VRange_02</vt:lpstr>
      <vt:lpstr>Scope!Channel_VRange_03</vt:lpstr>
      <vt:lpstr>Scope!Channel_VRange_04</vt:lpstr>
      <vt:lpstr>Scope!Channel_VRange_05</vt:lpstr>
      <vt:lpstr>Scope!Channel_VRange_06</vt:lpstr>
      <vt:lpstr>Scope!Channel_VRange_07</vt:lpstr>
      <vt:lpstr>'DC Power Supply'!ChannelDOCycleDuration_06</vt:lpstr>
      <vt:lpstr>'DC Power Supply'!ChannelDOCycleDuration_07</vt:lpstr>
      <vt:lpstr>'DC Power Supply'!ChannelDOCycleDuration_08</vt:lpstr>
      <vt:lpstr>'DC Power Supply'!ChannelDOCycleDuration_09</vt:lpstr>
      <vt:lpstr>'DC Power Supply'!ChannelDOOffDuration_06</vt:lpstr>
      <vt:lpstr>'DC Power Supply'!ChannelDOOffDuration_07</vt:lpstr>
      <vt:lpstr>'DC Power Supply'!ChannelDOOffDuration_08</vt:lpstr>
      <vt:lpstr>'DC Power Supply'!ChannelDOOffDuration_09</vt:lpstr>
      <vt:lpstr>'DC Power Supply'!ChannelDOSeed_06</vt:lpstr>
      <vt:lpstr>'DC Power Supply'!ChannelDOSeed_07</vt:lpstr>
      <vt:lpstr>'DC Power Supply'!ChannelDOSeed_08</vt:lpstr>
      <vt:lpstr>'DC Power Supply'!ChannelDOSeed_09</vt:lpstr>
      <vt:lpstr>'Foundation Bus'!ClockSource_01</vt:lpstr>
      <vt:lpstr>FPGA_SquibEmulation!ControlDevice_01</vt:lpstr>
      <vt:lpstr>FPGA_SquibEmulation!ControlDevice_02</vt:lpstr>
      <vt:lpstr>FPGA_SquibEmulation!ControlDevice_03</vt:lpstr>
      <vt:lpstr>FPGA_SquibEmulation!ControlDevice_04</vt:lpstr>
      <vt:lpstr>FPGA_SquibEmulation!ControlDevice_05</vt:lpstr>
      <vt:lpstr>FPGA_SquibEmulation!ControlDevice_06</vt:lpstr>
      <vt:lpstr>FPGA_SquibEmulation!ControlDevice_07</vt:lpstr>
      <vt:lpstr>FPGA_SquibEmulation!ControlDevice_08</vt:lpstr>
      <vt:lpstr>FPGA_SquibEmulation!ControlPort_01</vt:lpstr>
      <vt:lpstr>FPGA_SquibEmulation!ControlPort_02</vt:lpstr>
      <vt:lpstr>FPGA_SquibEmulation!ControlPort_03</vt:lpstr>
      <vt:lpstr>FPGA_SquibEmulation!ControlPort_04</vt:lpstr>
      <vt:lpstr>FPGA_SquibEmulation!ControlPort_05</vt:lpstr>
      <vt:lpstr>FPGA_SquibEmulation!ControlPort_06</vt:lpstr>
      <vt:lpstr>FPGA_SquibEmulation!ControlPort_07</vt:lpstr>
      <vt:lpstr>FPGA_SquibEmulation!ControlPort_08</vt:lpstr>
      <vt:lpstr>Synchronization!DDSClock_01</vt:lpstr>
      <vt:lpstr>Synchronization!DDSClock_02</vt:lpstr>
      <vt:lpstr>ARB!Description_01</vt:lpstr>
      <vt:lpstr>'DC Power Supply'!Description_01</vt:lpstr>
      <vt:lpstr>Digitizer!Description_01</vt:lpstr>
      <vt:lpstr>DMM!Description_01</vt:lpstr>
      <vt:lpstr>Example!Description_01</vt:lpstr>
      <vt:lpstr>'Foundation Bus'!Description_01</vt:lpstr>
      <vt:lpstr>FPGA!Description_01</vt:lpstr>
      <vt:lpstr>Scope!Description_01</vt:lpstr>
      <vt:lpstr>SpaceWire!Description_01</vt:lpstr>
      <vt:lpstr>Switch!Description_01</vt:lpstr>
      <vt:lpstr>Synchronization!Description_01</vt:lpstr>
      <vt:lpstr>ARB!Description_02</vt:lpstr>
      <vt:lpstr>'DC Power Supply'!Description_02</vt:lpstr>
      <vt:lpstr>Digitizer!Description_02</vt:lpstr>
      <vt:lpstr>FPGA!Description_02</vt:lpstr>
      <vt:lpstr>Scope!Description_02</vt:lpstr>
      <vt:lpstr>SpaceWire!Description_02</vt:lpstr>
      <vt:lpstr>Switch!Description_02</vt:lpstr>
      <vt:lpstr>Synchronization!Description_02</vt:lpstr>
      <vt:lpstr>ARB!Description_03</vt:lpstr>
      <vt:lpstr>'DC Power Supply'!Description_03</vt:lpstr>
      <vt:lpstr>Digitizer!Description_03</vt:lpstr>
      <vt:lpstr>FPGA!Description_03</vt:lpstr>
      <vt:lpstr>Scope!Description_03</vt:lpstr>
      <vt:lpstr>'DC Power Supply'!Description_04</vt:lpstr>
      <vt:lpstr>Digitizer!Description_04</vt:lpstr>
      <vt:lpstr>Scope!Description_04</vt:lpstr>
      <vt:lpstr>'DC Power Supply'!Description_05</vt:lpstr>
      <vt:lpstr>Digitizer!Description_05</vt:lpstr>
      <vt:lpstr>Scope!Description_05</vt:lpstr>
      <vt:lpstr>'DC Power Supply'!Description_06</vt:lpstr>
      <vt:lpstr>Digitizer!Description_06</vt:lpstr>
      <vt:lpstr>FPGA!Description_06</vt:lpstr>
      <vt:lpstr>Scope!Description_06</vt:lpstr>
      <vt:lpstr>'DC Power Supply'!Description_07</vt:lpstr>
      <vt:lpstr>Digitizer!Description_07</vt:lpstr>
      <vt:lpstr>Scope!Description_07</vt:lpstr>
      <vt:lpstr>'DC Power Supply'!Description_08</vt:lpstr>
      <vt:lpstr>Digitizer!Description_08</vt:lpstr>
      <vt:lpstr>'DC Power Supply'!Description_09</vt:lpstr>
      <vt:lpstr>Digitizer!Description_09</vt:lpstr>
      <vt:lpstr>Digitizer!Description_10</vt:lpstr>
      <vt:lpstr>Digitizer!Description_11</vt:lpstr>
      <vt:lpstr>Digitizer!Description_12</vt:lpstr>
      <vt:lpstr>Digitizer!Description_13</vt:lpstr>
      <vt:lpstr>Digitizer!Description_14</vt:lpstr>
      <vt:lpstr>Digitizer!Description_15</vt:lpstr>
      <vt:lpstr>'FBUS Message(s)'!DestMod_01</vt:lpstr>
      <vt:lpstr>'FBUS Message(s)'!DestMod_02</vt:lpstr>
      <vt:lpstr>'FBUS Message(s)'!DestObject_01</vt:lpstr>
      <vt:lpstr>'FBUS Message(s)'!DestObject_02</vt:lpstr>
      <vt:lpstr>ARB!DeviceAddress_01</vt:lpstr>
      <vt:lpstr>'DC Power Supply'!DeviceAddress_01</vt:lpstr>
      <vt:lpstr>Digitizer!DeviceAddress_01</vt:lpstr>
      <vt:lpstr>DMM!DeviceAddress_01</vt:lpstr>
      <vt:lpstr>'Foundation Bus'!DeviceAddress_01</vt:lpstr>
      <vt:lpstr>FPGA!DeviceAddress_01</vt:lpstr>
      <vt:lpstr>Scope!DeviceAddress_01</vt:lpstr>
      <vt:lpstr>SpaceWire!DeviceAddress_01</vt:lpstr>
      <vt:lpstr>Switch!DeviceAddress_01</vt:lpstr>
      <vt:lpstr>Synchronization!DeviceAddress_01</vt:lpstr>
      <vt:lpstr>ARB!DeviceAddress_02</vt:lpstr>
      <vt:lpstr>'DC Power Supply'!DeviceAddress_02</vt:lpstr>
      <vt:lpstr>Digitizer!DeviceAddress_02</vt:lpstr>
      <vt:lpstr>FPGA!DeviceAddress_02</vt:lpstr>
      <vt:lpstr>Scope!DeviceAddress_02</vt:lpstr>
      <vt:lpstr>SpaceWire!DeviceAddress_02</vt:lpstr>
      <vt:lpstr>Switch!DeviceAddress_02</vt:lpstr>
      <vt:lpstr>Synchronization!DeviceAddress_02</vt:lpstr>
      <vt:lpstr>ARB!DeviceAddress_03</vt:lpstr>
      <vt:lpstr>'DC Power Supply'!DeviceAddress_03</vt:lpstr>
      <vt:lpstr>Digitizer!DeviceAddress_03</vt:lpstr>
      <vt:lpstr>FPGA!DeviceAddress_03</vt:lpstr>
      <vt:lpstr>Scope!DeviceAddress_03</vt:lpstr>
      <vt:lpstr>'DC Power Supply'!DeviceAddress_04</vt:lpstr>
      <vt:lpstr>Digitizer!DeviceAddress_04</vt:lpstr>
      <vt:lpstr>Scope!DeviceAddress_04</vt:lpstr>
      <vt:lpstr>'DC Power Supply'!DeviceAddress_05</vt:lpstr>
      <vt:lpstr>Digitizer!DeviceAddress_05</vt:lpstr>
      <vt:lpstr>Scope!DeviceAddress_05</vt:lpstr>
      <vt:lpstr>'DC Power Supply'!DeviceAddress_06</vt:lpstr>
      <vt:lpstr>Digitizer!DeviceAddress_06</vt:lpstr>
      <vt:lpstr>Scope!DeviceAddress_06</vt:lpstr>
      <vt:lpstr>'DC Power Supply'!DeviceAddress_07</vt:lpstr>
      <vt:lpstr>Digitizer!DeviceAddress_07</vt:lpstr>
      <vt:lpstr>Scope!DeviceAddress_07</vt:lpstr>
      <vt:lpstr>'DC Power Supply'!DeviceAddress_08</vt:lpstr>
      <vt:lpstr>Digitizer!DeviceAddress_08</vt:lpstr>
      <vt:lpstr>'DC Power Supply'!DeviceAddress_09</vt:lpstr>
      <vt:lpstr>Digitizer!DeviceAddress_09</vt:lpstr>
      <vt:lpstr>Digitizer!DeviceAddress_10</vt:lpstr>
      <vt:lpstr>Digitizer!DeviceAddress_11</vt:lpstr>
      <vt:lpstr>Digitizer!DeviceAddress_12</vt:lpstr>
      <vt:lpstr>Digitizer!DeviceAddress_13</vt:lpstr>
      <vt:lpstr>Digitizer!DeviceAddress_14</vt:lpstr>
      <vt:lpstr>Digitizer!DeviceAddress_15</vt:lpstr>
      <vt:lpstr>FPGA_SquibEmulation!Duration_01</vt:lpstr>
      <vt:lpstr>FPGA_SquibEmulation!Duration_02</vt:lpstr>
      <vt:lpstr>FPGA_SquibEmulation!Duration_03</vt:lpstr>
      <vt:lpstr>FPGA_SquibEmulation!Duration_04</vt:lpstr>
      <vt:lpstr>FPGA_SquibEmulation!Duration_05</vt:lpstr>
      <vt:lpstr>FPGA_SquibEmulation!Duration_06</vt:lpstr>
      <vt:lpstr>FPGA_SquibEmulation!Duration_07</vt:lpstr>
      <vt:lpstr>FPGA_SquibEmulation!Duration_08</vt:lpstr>
      <vt:lpstr>FPGA_SquibEmulation!Duration2_01</vt:lpstr>
      <vt:lpstr>FPGA_SquibEmulation!Duration2_02</vt:lpstr>
      <vt:lpstr>FPGA_SquibEmulation!Duration2_03</vt:lpstr>
      <vt:lpstr>FPGA_SquibEmulation!Duration2_04</vt:lpstr>
      <vt:lpstr>FPGA_SquibEmulation!Duration2_05</vt:lpstr>
      <vt:lpstr>FPGA_SquibEmulation!Duration2_06</vt:lpstr>
      <vt:lpstr>FPGA_SquibEmulation!Duration2_07</vt:lpstr>
      <vt:lpstr>FPGA_SquibEmulation!Duration2_08</vt:lpstr>
      <vt:lpstr>ARB!Enabled_01</vt:lpstr>
      <vt:lpstr>'DC Power Supply'!Enabled_01</vt:lpstr>
      <vt:lpstr>Digitizer!Enabled_01</vt:lpstr>
      <vt:lpstr>DMM!Enabled_01</vt:lpstr>
      <vt:lpstr>Example!Enabled_01</vt:lpstr>
      <vt:lpstr>'Foundation Bus'!Enabled_01</vt:lpstr>
      <vt:lpstr>FPGA!Enabled_01</vt:lpstr>
      <vt:lpstr>Scope!Enabled_01</vt:lpstr>
      <vt:lpstr>SpaceWire!Enabled_01</vt:lpstr>
      <vt:lpstr>Switch!Enabled_01</vt:lpstr>
      <vt:lpstr>Synchronization!Enabled_01</vt:lpstr>
      <vt:lpstr>ARB!Enabled_02</vt:lpstr>
      <vt:lpstr>'DC Power Supply'!Enabled_02</vt:lpstr>
      <vt:lpstr>Digitizer!Enabled_02</vt:lpstr>
      <vt:lpstr>FPGA!Enabled_02</vt:lpstr>
      <vt:lpstr>Scope!Enabled_02</vt:lpstr>
      <vt:lpstr>SpaceWire!Enabled_02</vt:lpstr>
      <vt:lpstr>Switch!Enabled_02</vt:lpstr>
      <vt:lpstr>Synchronization!Enabled_02</vt:lpstr>
      <vt:lpstr>ARB!Enabled_03</vt:lpstr>
      <vt:lpstr>'DC Power Supply'!Enabled_03</vt:lpstr>
      <vt:lpstr>Digitizer!Enabled_03</vt:lpstr>
      <vt:lpstr>FPGA!Enabled_03</vt:lpstr>
      <vt:lpstr>Scope!Enabled_03</vt:lpstr>
      <vt:lpstr>'DC Power Supply'!Enabled_04</vt:lpstr>
      <vt:lpstr>Digitizer!Enabled_04</vt:lpstr>
      <vt:lpstr>Scope!Enabled_04</vt:lpstr>
      <vt:lpstr>'DC Power Supply'!Enabled_05</vt:lpstr>
      <vt:lpstr>Digitizer!Enabled_05</vt:lpstr>
      <vt:lpstr>Scope!Enabled_05</vt:lpstr>
      <vt:lpstr>'DC Power Supply'!Enabled_06</vt:lpstr>
      <vt:lpstr>Digitizer!Enabled_06</vt:lpstr>
      <vt:lpstr>Scope!Enabled_06</vt:lpstr>
      <vt:lpstr>'DC Power Supply'!Enabled_07</vt:lpstr>
      <vt:lpstr>Digitizer!Enabled_07</vt:lpstr>
      <vt:lpstr>Scope!Enabled_07</vt:lpstr>
      <vt:lpstr>'DC Power Supply'!Enabled_08</vt:lpstr>
      <vt:lpstr>Digitizer!Enabled_08</vt:lpstr>
      <vt:lpstr>'DC Power Supply'!Enabled_09</vt:lpstr>
      <vt:lpstr>Digitizer!Enabled_09</vt:lpstr>
      <vt:lpstr>Digitizer!Enabled_10</vt:lpstr>
      <vt:lpstr>Digitizer!Enabled_11</vt:lpstr>
      <vt:lpstr>Digitizer!Enabled_12</vt:lpstr>
      <vt:lpstr>Digitizer!Enabled_13</vt:lpstr>
      <vt:lpstr>Digitizer!Enabled_14</vt:lpstr>
      <vt:lpstr>Digitizer!Enabled_15</vt:lpstr>
      <vt:lpstr>FPGA_SquibEmulation!EndResistor00Enabled_01</vt:lpstr>
      <vt:lpstr>FPGA_SquibEmulation!EndResistor00Enabled_02</vt:lpstr>
      <vt:lpstr>FPGA_SquibEmulation!EndResistor00Enabled_03</vt:lpstr>
      <vt:lpstr>FPGA_SquibEmulation!EndResistor00Enabled_04</vt:lpstr>
      <vt:lpstr>FPGA_SquibEmulation!EndResistor00Enabled_05</vt:lpstr>
      <vt:lpstr>FPGA_SquibEmulation!EndResistor00Enabled_06</vt:lpstr>
      <vt:lpstr>FPGA_SquibEmulation!EndResistor00Enabled_07</vt:lpstr>
      <vt:lpstr>FPGA_SquibEmulation!EndResistor00Enabled_08</vt:lpstr>
      <vt:lpstr>FPGA_SquibEmulation!EndResistor01Enabled_01</vt:lpstr>
      <vt:lpstr>FPGA_SquibEmulation!EndResistor01Enabled_02</vt:lpstr>
      <vt:lpstr>FPGA_SquibEmulation!EndResistor01Enabled_03</vt:lpstr>
      <vt:lpstr>FPGA_SquibEmulation!EndResistor01Enabled_04</vt:lpstr>
      <vt:lpstr>FPGA_SquibEmulation!EndResistor01Enabled_05</vt:lpstr>
      <vt:lpstr>FPGA_SquibEmulation!EndResistor01Enabled_06</vt:lpstr>
      <vt:lpstr>FPGA_SquibEmulation!EndResistor01Enabled_07</vt:lpstr>
      <vt:lpstr>FPGA_SquibEmulation!EndResistor01Enabled_08</vt:lpstr>
      <vt:lpstr>FPGA_SquibEmulation!EndResistor02Enabled_01</vt:lpstr>
      <vt:lpstr>FPGA_SquibEmulation!EndResistor02Enabled_02</vt:lpstr>
      <vt:lpstr>FPGA_SquibEmulation!EndResistor02Enabled_03</vt:lpstr>
      <vt:lpstr>FPGA_SquibEmulation!EndResistor02Enabled_04</vt:lpstr>
      <vt:lpstr>FPGA_SquibEmulation!EndResistor02Enabled_05</vt:lpstr>
      <vt:lpstr>FPGA_SquibEmulation!EndResistor02Enabled_06</vt:lpstr>
      <vt:lpstr>FPGA_SquibEmulation!EndResistor02Enabled_07</vt:lpstr>
      <vt:lpstr>FPGA_SquibEmulation!EndResistor02Enabled_08</vt:lpstr>
      <vt:lpstr>FPGA_SquibEmulation!EndResistor03Enabled_01</vt:lpstr>
      <vt:lpstr>FPGA_SquibEmulation!EndResistor03Enabled_02</vt:lpstr>
      <vt:lpstr>FPGA_SquibEmulation!EndResistor03Enabled_03</vt:lpstr>
      <vt:lpstr>FPGA_SquibEmulation!EndResistor03Enabled_04</vt:lpstr>
      <vt:lpstr>FPGA_SquibEmulation!EndResistor03Enabled_05</vt:lpstr>
      <vt:lpstr>FPGA_SquibEmulation!EndResistor03Enabled_06</vt:lpstr>
      <vt:lpstr>FPGA_SquibEmulation!EndResistor03Enabled_07</vt:lpstr>
      <vt:lpstr>FPGA_SquibEmulation!EndResistor03Enabled_08</vt:lpstr>
      <vt:lpstr>FPGA_SquibEmulation!EndResistor04Enabled_01</vt:lpstr>
      <vt:lpstr>FPGA_SquibEmulation!EndResistor04Enabled_02</vt:lpstr>
      <vt:lpstr>FPGA_SquibEmulation!EndResistor04Enabled_03</vt:lpstr>
      <vt:lpstr>FPGA_SquibEmulation!EndResistor04Enabled_04</vt:lpstr>
      <vt:lpstr>FPGA_SquibEmulation!EndResistor04Enabled_05</vt:lpstr>
      <vt:lpstr>FPGA_SquibEmulation!EndResistor04Enabled_06</vt:lpstr>
      <vt:lpstr>FPGA_SquibEmulation!EndResistor04Enabled_07</vt:lpstr>
      <vt:lpstr>FPGA_SquibEmulation!EndResistor04Enabled_08</vt:lpstr>
      <vt:lpstr>FPGA_SquibEmulation!EndResistor05Enabled_01</vt:lpstr>
      <vt:lpstr>FPGA_SquibEmulation!EndResistor05Enabled_02</vt:lpstr>
      <vt:lpstr>FPGA_SquibEmulation!EndResistor05Enabled_03</vt:lpstr>
      <vt:lpstr>FPGA_SquibEmulation!EndResistor05Enabled_04</vt:lpstr>
      <vt:lpstr>FPGA_SquibEmulation!EndResistor05Enabled_05</vt:lpstr>
      <vt:lpstr>FPGA_SquibEmulation!EndResistor05Enabled_06</vt:lpstr>
      <vt:lpstr>FPGA_SquibEmulation!EndResistor05Enabled_07</vt:lpstr>
      <vt:lpstr>FPGA_SquibEmulation!EndResistor05Enabled_08</vt:lpstr>
      <vt:lpstr>FPGA_SquibEmulation!EndResistor06Enabled_01</vt:lpstr>
      <vt:lpstr>FPGA_SquibEmulation!EndResistor06Enabled_02</vt:lpstr>
      <vt:lpstr>FPGA_SquibEmulation!EndResistor06Enabled_03</vt:lpstr>
      <vt:lpstr>FPGA_SquibEmulation!EndResistor06Enabled_04</vt:lpstr>
      <vt:lpstr>FPGA_SquibEmulation!EndResistor06Enabled_05</vt:lpstr>
      <vt:lpstr>FPGA_SquibEmulation!EndResistor06Enabled_06</vt:lpstr>
      <vt:lpstr>FPGA_SquibEmulation!EndResistor06Enabled_07</vt:lpstr>
      <vt:lpstr>FPGA_SquibEmulation!EndResistor06Enabled_08</vt:lpstr>
      <vt:lpstr>FPGA_SquibEmulation!EndResistor07Enabled_01</vt:lpstr>
      <vt:lpstr>FPGA_SquibEmulation!EndResistor07Enabled_02</vt:lpstr>
      <vt:lpstr>FPGA_SquibEmulation!EndResistor07Enabled_03</vt:lpstr>
      <vt:lpstr>FPGA_SquibEmulation!EndResistor07Enabled_04</vt:lpstr>
      <vt:lpstr>FPGA_SquibEmulation!EndResistor07Enabled_05</vt:lpstr>
      <vt:lpstr>FPGA_SquibEmulation!EndResistor07Enabled_06</vt:lpstr>
      <vt:lpstr>FPGA_SquibEmulation!EndResistor07Enabled_07</vt:lpstr>
      <vt:lpstr>FPGA_SquibEmulation!EndResistor07Enabled_08</vt:lpstr>
      <vt:lpstr>ARB!EngineIP_01</vt:lpstr>
      <vt:lpstr>'DC Power Supply'!EngineIP_01</vt:lpstr>
      <vt:lpstr>Digitizer!EngineIP_01</vt:lpstr>
      <vt:lpstr>DMM!EngineIP_01</vt:lpstr>
      <vt:lpstr>'Foundation Bus'!EngineIP_01</vt:lpstr>
      <vt:lpstr>FPGA!EngineIP_01</vt:lpstr>
      <vt:lpstr>Scope!EngineIP_01</vt:lpstr>
      <vt:lpstr>SpaceWire!EngineIP_01</vt:lpstr>
      <vt:lpstr>Switch!EngineIP_01</vt:lpstr>
      <vt:lpstr>Synchronization!EngineIP_01</vt:lpstr>
      <vt:lpstr>ARB!EngineIP_02</vt:lpstr>
      <vt:lpstr>'DC Power Supply'!EngineIP_02</vt:lpstr>
      <vt:lpstr>Digitizer!EngineIP_02</vt:lpstr>
      <vt:lpstr>FPGA!EngineIP_02</vt:lpstr>
      <vt:lpstr>Scope!EngineIP_02</vt:lpstr>
      <vt:lpstr>SpaceWire!EngineIP_02</vt:lpstr>
      <vt:lpstr>Switch!EngineIP_02</vt:lpstr>
      <vt:lpstr>Synchronization!EngineIP_02</vt:lpstr>
      <vt:lpstr>ARB!EngineIP_03</vt:lpstr>
      <vt:lpstr>'DC Power Supply'!EngineIP_03</vt:lpstr>
      <vt:lpstr>Digitizer!EngineIP_03</vt:lpstr>
      <vt:lpstr>FPGA!EngineIP_03</vt:lpstr>
      <vt:lpstr>Scope!EngineIP_03</vt:lpstr>
      <vt:lpstr>'DC Power Supply'!EngineIP_04</vt:lpstr>
      <vt:lpstr>Digitizer!EngineIP_04</vt:lpstr>
      <vt:lpstr>Scope!EngineIP_04</vt:lpstr>
      <vt:lpstr>'DC Power Supply'!EngineIP_05</vt:lpstr>
      <vt:lpstr>Digitizer!EngineIP_05</vt:lpstr>
      <vt:lpstr>Scope!EngineIP_05</vt:lpstr>
      <vt:lpstr>'DC Power Supply'!EngineIP_06</vt:lpstr>
      <vt:lpstr>Digitizer!EngineIP_06</vt:lpstr>
      <vt:lpstr>Scope!EngineIP_06</vt:lpstr>
      <vt:lpstr>'DC Power Supply'!EngineIP_07</vt:lpstr>
      <vt:lpstr>Digitizer!EngineIP_07</vt:lpstr>
      <vt:lpstr>Scope!EngineIP_07</vt:lpstr>
      <vt:lpstr>'DC Power Supply'!EngineIP_08</vt:lpstr>
      <vt:lpstr>Digitizer!EngineIP_08</vt:lpstr>
      <vt:lpstr>'DC Power Supply'!EngineIP_09</vt:lpstr>
      <vt:lpstr>Digitizer!EngineIP_09</vt:lpstr>
      <vt:lpstr>Digitizer!EngineIP_10</vt:lpstr>
      <vt:lpstr>Digitizer!EngineIP_11</vt:lpstr>
      <vt:lpstr>Digitizer!EngineIP_12</vt:lpstr>
      <vt:lpstr>Digitizer!EngineIP_13</vt:lpstr>
      <vt:lpstr>Digitizer!EngineIP_14</vt:lpstr>
      <vt:lpstr>Digitizer!EngineIP_15</vt:lpstr>
      <vt:lpstr>ARB!EnginePort_01</vt:lpstr>
      <vt:lpstr>'DC Power Supply'!EnginePort_01</vt:lpstr>
      <vt:lpstr>Digitizer!EnginePort_01</vt:lpstr>
      <vt:lpstr>DMM!EnginePort_01</vt:lpstr>
      <vt:lpstr>'Foundation Bus'!EnginePort_01</vt:lpstr>
      <vt:lpstr>FPGA!EnginePort_01</vt:lpstr>
      <vt:lpstr>Scope!EnginePort_01</vt:lpstr>
      <vt:lpstr>Switch!EnginePort_01</vt:lpstr>
      <vt:lpstr>Synchronization!EnginePort_01</vt:lpstr>
      <vt:lpstr>ARB!EnginePort_02</vt:lpstr>
      <vt:lpstr>'DC Power Supply'!EnginePort_02</vt:lpstr>
      <vt:lpstr>Digitizer!EnginePort_02</vt:lpstr>
      <vt:lpstr>FPGA!EnginePort_02</vt:lpstr>
      <vt:lpstr>Scope!EnginePort_02</vt:lpstr>
      <vt:lpstr>Switch!EnginePort_02</vt:lpstr>
      <vt:lpstr>Synchronization!EnginePort_02</vt:lpstr>
      <vt:lpstr>ARB!EnginePort_03</vt:lpstr>
      <vt:lpstr>'DC Power Supply'!EnginePort_03</vt:lpstr>
      <vt:lpstr>Digitizer!EnginePort_03</vt:lpstr>
      <vt:lpstr>FPGA!EnginePort_03</vt:lpstr>
      <vt:lpstr>Scope!EnginePort_03</vt:lpstr>
      <vt:lpstr>'DC Power Supply'!EnginePort_04</vt:lpstr>
      <vt:lpstr>Digitizer!EnginePort_04</vt:lpstr>
      <vt:lpstr>Scope!EnginePort_04</vt:lpstr>
      <vt:lpstr>'DC Power Supply'!EnginePort_05</vt:lpstr>
      <vt:lpstr>Digitizer!EnginePort_05</vt:lpstr>
      <vt:lpstr>Scope!EnginePort_05</vt:lpstr>
      <vt:lpstr>'DC Power Supply'!EnginePort_06</vt:lpstr>
      <vt:lpstr>Digitizer!EnginePort_06</vt:lpstr>
      <vt:lpstr>Scope!EnginePort_06</vt:lpstr>
      <vt:lpstr>'DC Power Supply'!EnginePort_07</vt:lpstr>
      <vt:lpstr>Digitizer!EnginePort_07</vt:lpstr>
      <vt:lpstr>Scope!EnginePort_07</vt:lpstr>
      <vt:lpstr>'DC Power Supply'!EnginePort_08</vt:lpstr>
      <vt:lpstr>Digitizer!EnginePort_08</vt:lpstr>
      <vt:lpstr>'DC Power Supply'!EnginePort_09</vt:lpstr>
      <vt:lpstr>Digitizer!EnginePort_09</vt:lpstr>
      <vt:lpstr>Digitizer!EnginePort_10</vt:lpstr>
      <vt:lpstr>Digitizer!EnginePort_11</vt:lpstr>
      <vt:lpstr>Digitizer!EnginePort_12</vt:lpstr>
      <vt:lpstr>Digitizer!EnginePort_13</vt:lpstr>
      <vt:lpstr>Digitizer!EnginePort_14</vt:lpstr>
      <vt:lpstr>Digitizer!EnginePort_15</vt:lpstr>
      <vt:lpstr>'FBUS Message(s)'!FBUS_TXMessage_01</vt:lpstr>
      <vt:lpstr>'FBUS Message(s)'!FBUS_TXMessage_02</vt:lpstr>
      <vt:lpstr>ARB!Impedance_01</vt:lpstr>
      <vt:lpstr>FPGA_SquibEmulation!InputAlias_01</vt:lpstr>
      <vt:lpstr>FPGA_SquibEmulation!InputAlias_02</vt:lpstr>
      <vt:lpstr>FPGA_SquibEmulation!InputAlias_03</vt:lpstr>
      <vt:lpstr>FPGA_SquibEmulation!InputAlias_04</vt:lpstr>
      <vt:lpstr>FPGA_SquibEmulation!InputAlias_05</vt:lpstr>
      <vt:lpstr>FPGA_SquibEmulation!InputAlias_06</vt:lpstr>
      <vt:lpstr>FPGA_SquibEmulation!InputAlias_07</vt:lpstr>
      <vt:lpstr>FPGA_SquibEmulation!InputAlias_08</vt:lpstr>
      <vt:lpstr>'DC Power Supply'!Keysight_PS5</vt:lpstr>
      <vt:lpstr>Version!LastModDate</vt:lpstr>
      <vt:lpstr>Version!LastModName</vt:lpstr>
      <vt:lpstr>Version!LastModNotes</vt:lpstr>
      <vt:lpstr>'DC Power Supply'!localhost</vt:lpstr>
      <vt:lpstr>DMM!MeasurementType_01</vt:lpstr>
      <vt:lpstr>DMM!MeasurmentType_01</vt:lpstr>
      <vt:lpstr>ARB!Model_01</vt:lpstr>
      <vt:lpstr>'DC Power Supply'!Model_01</vt:lpstr>
      <vt:lpstr>Digitizer!Model_01</vt:lpstr>
      <vt:lpstr>DMM!Model_01</vt:lpstr>
      <vt:lpstr>Example!Model_01</vt:lpstr>
      <vt:lpstr>'Foundation Bus'!Model_01</vt:lpstr>
      <vt:lpstr>FPGA!Model_01</vt:lpstr>
      <vt:lpstr>Scope!Model_01</vt:lpstr>
      <vt:lpstr>SpaceWire!Model_01</vt:lpstr>
      <vt:lpstr>Switch!Model_01</vt:lpstr>
      <vt:lpstr>Synchronization!Model_01</vt:lpstr>
      <vt:lpstr>ARB!Model_02</vt:lpstr>
      <vt:lpstr>'DC Power Supply'!Model_02</vt:lpstr>
      <vt:lpstr>Digitizer!Model_02</vt:lpstr>
      <vt:lpstr>FPGA!Model_02</vt:lpstr>
      <vt:lpstr>Scope!Model_02</vt:lpstr>
      <vt:lpstr>SpaceWire!Model_02</vt:lpstr>
      <vt:lpstr>Switch!Model_02</vt:lpstr>
      <vt:lpstr>Synchronization!Model_02</vt:lpstr>
      <vt:lpstr>ARB!Model_03</vt:lpstr>
      <vt:lpstr>'DC Power Supply'!Model_03</vt:lpstr>
      <vt:lpstr>Digitizer!Model_03</vt:lpstr>
      <vt:lpstr>FPGA!Model_03</vt:lpstr>
      <vt:lpstr>Scope!Model_03</vt:lpstr>
      <vt:lpstr>'DC Power Supply'!Model_04</vt:lpstr>
      <vt:lpstr>Digitizer!Model_04</vt:lpstr>
      <vt:lpstr>Scope!Model_04</vt:lpstr>
      <vt:lpstr>'DC Power Supply'!Model_05</vt:lpstr>
      <vt:lpstr>Digitizer!Model_05</vt:lpstr>
      <vt:lpstr>Scope!Model_05</vt:lpstr>
      <vt:lpstr>'DC Power Supply'!Model_06</vt:lpstr>
      <vt:lpstr>Digitizer!Model_06</vt:lpstr>
      <vt:lpstr>Scope!Model_06</vt:lpstr>
      <vt:lpstr>'DC Power Supply'!Model_07</vt:lpstr>
      <vt:lpstr>Digitizer!Model_07</vt:lpstr>
      <vt:lpstr>Scope!Model_07</vt:lpstr>
      <vt:lpstr>'DC Power Supply'!Model_08</vt:lpstr>
      <vt:lpstr>Digitizer!Model_08</vt:lpstr>
      <vt:lpstr>'DC Power Supply'!Model_09</vt:lpstr>
      <vt:lpstr>Digitizer!Model_09</vt:lpstr>
      <vt:lpstr>Digitizer!Model_10</vt:lpstr>
      <vt:lpstr>Digitizer!Model_11</vt:lpstr>
      <vt:lpstr>Digitizer!Model_12</vt:lpstr>
      <vt:lpstr>Digitizer!Model_13</vt:lpstr>
      <vt:lpstr>Digitizer!Model_14</vt:lpstr>
      <vt:lpstr>Digitizer!Model_15</vt:lpstr>
      <vt:lpstr>FPGA_SquibEmulation!MonitorDevice_01</vt:lpstr>
      <vt:lpstr>FPGA_SquibEmulation!MonitorDevice_02</vt:lpstr>
      <vt:lpstr>FPGA_SquibEmulation!MonitorDevice_03</vt:lpstr>
      <vt:lpstr>FPGA_SquibEmulation!MonitorDevice_04</vt:lpstr>
      <vt:lpstr>FPGA_SquibEmulation!MonitorDevice_05</vt:lpstr>
      <vt:lpstr>FPGA_SquibEmulation!MonitorDevice_06</vt:lpstr>
      <vt:lpstr>FPGA_SquibEmulation!MonitorDevice_07</vt:lpstr>
      <vt:lpstr>FPGA_SquibEmulation!MonitorDevice_08</vt:lpstr>
      <vt:lpstr>FPGA_SquibEmulation!MonitorPin_01</vt:lpstr>
      <vt:lpstr>FPGA_SquibEmulation!MonitorPin_02</vt:lpstr>
      <vt:lpstr>FPGA_SquibEmulation!MonitorPin_03</vt:lpstr>
      <vt:lpstr>FPGA_SquibEmulation!MonitorPin_04</vt:lpstr>
      <vt:lpstr>FPGA_SquibEmulation!MonitorPin_05</vt:lpstr>
      <vt:lpstr>FPGA_SquibEmulation!MonitorPin_06</vt:lpstr>
      <vt:lpstr>FPGA_SquibEmulation!MonitorPin_07</vt:lpstr>
      <vt:lpstr>FPGA_SquibEmulation!MonitorPin_08</vt:lpstr>
      <vt:lpstr>FPGA_SquibEmulation!MonitorThreshold_01</vt:lpstr>
      <vt:lpstr>FPGA_SquibEmulation!MonitorThreshold_02</vt:lpstr>
      <vt:lpstr>FPGA_SquibEmulation!MonitorThreshold_03</vt:lpstr>
      <vt:lpstr>FPGA_SquibEmulation!MonitorThreshold_04</vt:lpstr>
      <vt:lpstr>FPGA_SquibEmulation!MonitorThreshold_05</vt:lpstr>
      <vt:lpstr>FPGA_SquibEmulation!MonitorThreshold_06</vt:lpstr>
      <vt:lpstr>FPGA_SquibEmulation!MonitorThreshold_07</vt:lpstr>
      <vt:lpstr>FPGA_SquibEmulation!MonitorThreshold_08</vt:lpstr>
      <vt:lpstr>Scope!NumberOfSamples_01</vt:lpstr>
      <vt:lpstr>Scope!NumberOfSamples_02</vt:lpstr>
      <vt:lpstr>Scope!NumberOfSamples_03</vt:lpstr>
      <vt:lpstr>Scope!NumberOfSamples_04</vt:lpstr>
      <vt:lpstr>Scope!NumberOfSamples_05</vt:lpstr>
      <vt:lpstr>Scope!NumberOfSamples_06</vt:lpstr>
      <vt:lpstr>Scope!NumberOfSamples_07</vt:lpstr>
      <vt:lpstr>ARB!Output_Mode_01</vt:lpstr>
      <vt:lpstr>'FBUS Message(s)'!PassiveListener_01</vt:lpstr>
      <vt:lpstr>'FBUS Message(s)'!PassiveListener_02</vt:lpstr>
      <vt:lpstr>'FBUS Message(s)'!Payload_01</vt:lpstr>
      <vt:lpstr>'FBUS Message(s)'!Payload_02</vt:lpstr>
      <vt:lpstr>Digitizer!Pretrigger_01</vt:lpstr>
      <vt:lpstr>Scope!Pretrigger_01</vt:lpstr>
      <vt:lpstr>Digitizer!Pretrigger_02</vt:lpstr>
      <vt:lpstr>Scope!Pretrigger_02</vt:lpstr>
      <vt:lpstr>Digitizer!Pretrigger_03</vt:lpstr>
      <vt:lpstr>Scope!Pretrigger_03</vt:lpstr>
      <vt:lpstr>Digitizer!Pretrigger_04</vt:lpstr>
      <vt:lpstr>Scope!Pretrigger_04</vt:lpstr>
      <vt:lpstr>Digitizer!Pretrigger_05</vt:lpstr>
      <vt:lpstr>Scope!Pretrigger_05</vt:lpstr>
      <vt:lpstr>Digitizer!Pretrigger_06</vt:lpstr>
      <vt:lpstr>Scope!Pretrigger_06</vt:lpstr>
      <vt:lpstr>Digitizer!Pretrigger_07</vt:lpstr>
      <vt:lpstr>Scope!Pretrigger_07</vt:lpstr>
      <vt:lpstr>Digitizer!Pretrigger_08</vt:lpstr>
      <vt:lpstr>Digitizer!Pretrigger_09</vt:lpstr>
      <vt:lpstr>Digitizer!Pretrigger_10</vt:lpstr>
      <vt:lpstr>Digitizer!Pretrigger_11</vt:lpstr>
      <vt:lpstr>Digitizer!Pretrigger_12</vt:lpstr>
      <vt:lpstr>Digitizer!Pretrigger_13</vt:lpstr>
      <vt:lpstr>Digitizer!Pretrigger_14</vt:lpstr>
      <vt:lpstr>Digitizer!Pretrigger_15</vt:lpstr>
      <vt:lpstr>FPGA!PXIe_7867R</vt:lpstr>
      <vt:lpstr>DMM!Range_01</vt:lpstr>
      <vt:lpstr>Digitizer!ReferenceClock_01</vt:lpstr>
      <vt:lpstr>Digitizer!ReferenceClock_02</vt:lpstr>
      <vt:lpstr>Digitizer!ReferenceClock_03</vt:lpstr>
      <vt:lpstr>Digitizer!ReferenceClock_04</vt:lpstr>
      <vt:lpstr>Digitizer!ReferenceClock_05</vt:lpstr>
      <vt:lpstr>Digitizer!ReferenceClock_06</vt:lpstr>
      <vt:lpstr>Digitizer!ReferenceClock_07</vt:lpstr>
      <vt:lpstr>Digitizer!ReferenceClock_08</vt:lpstr>
      <vt:lpstr>Digitizer!ReferenceClock_09</vt:lpstr>
      <vt:lpstr>Digitizer!ReferenceClock_10</vt:lpstr>
      <vt:lpstr>Digitizer!ReferenceClock_11</vt:lpstr>
      <vt:lpstr>Digitizer!ReferenceClock_12</vt:lpstr>
      <vt:lpstr>Digitizer!ReferenceClock_13</vt:lpstr>
      <vt:lpstr>Digitizer!ReferenceClock_14</vt:lpstr>
      <vt:lpstr>Digitizer!ReferenceClock_15</vt:lpstr>
      <vt:lpstr>FPGA_SquibEmulation!Resistance_01</vt:lpstr>
      <vt:lpstr>FPGA_SquibEmulation!Resistance_02</vt:lpstr>
      <vt:lpstr>FPGA_SquibEmulation!Resistance_03</vt:lpstr>
      <vt:lpstr>FPGA_SquibEmulation!Resistance_04</vt:lpstr>
      <vt:lpstr>FPGA_SquibEmulation!Resistance_05</vt:lpstr>
      <vt:lpstr>FPGA_SquibEmulation!Resistance_06</vt:lpstr>
      <vt:lpstr>FPGA_SquibEmulation!Resistance_07</vt:lpstr>
      <vt:lpstr>FPGA_SquibEmulation!Resistance_08</vt:lpstr>
      <vt:lpstr>FPGA_SquibEmulation!Resistor00Enabled_01</vt:lpstr>
      <vt:lpstr>FPGA_SquibEmulation!Resistor00Enabled_02</vt:lpstr>
      <vt:lpstr>FPGA_SquibEmulation!Resistor00Enabled_03</vt:lpstr>
      <vt:lpstr>FPGA_SquibEmulation!Resistor00Enabled_04</vt:lpstr>
      <vt:lpstr>FPGA_SquibEmulation!Resistor00Enabled_05</vt:lpstr>
      <vt:lpstr>FPGA_SquibEmulation!Resistor00Enabled_06</vt:lpstr>
      <vt:lpstr>FPGA_SquibEmulation!Resistor00Enabled_07</vt:lpstr>
      <vt:lpstr>FPGA_SquibEmulation!Resistor00Enabled_08</vt:lpstr>
      <vt:lpstr>FPGA_SquibEmulation!Resistor01Enabled_01</vt:lpstr>
      <vt:lpstr>FPGA_SquibEmulation!Resistor01Enabled_02</vt:lpstr>
      <vt:lpstr>FPGA_SquibEmulation!Resistor01Enabled_03</vt:lpstr>
      <vt:lpstr>FPGA_SquibEmulation!Resistor01Enabled_04</vt:lpstr>
      <vt:lpstr>FPGA_SquibEmulation!Resistor01Enabled_05</vt:lpstr>
      <vt:lpstr>FPGA_SquibEmulation!Resistor01Enabled_06</vt:lpstr>
      <vt:lpstr>FPGA_SquibEmulation!Resistor01Enabled_07</vt:lpstr>
      <vt:lpstr>FPGA_SquibEmulation!Resistor01Enabled_08</vt:lpstr>
      <vt:lpstr>FPGA_SquibEmulation!Resistor02Enabled_01</vt:lpstr>
      <vt:lpstr>FPGA_SquibEmulation!Resistor02Enabled_02</vt:lpstr>
      <vt:lpstr>FPGA_SquibEmulation!Resistor02Enabled_03</vt:lpstr>
      <vt:lpstr>FPGA_SquibEmulation!Resistor02Enabled_04</vt:lpstr>
      <vt:lpstr>FPGA_SquibEmulation!Resistor02Enabled_05</vt:lpstr>
      <vt:lpstr>FPGA_SquibEmulation!Resistor02Enabled_06</vt:lpstr>
      <vt:lpstr>FPGA_SquibEmulation!Resistor02Enabled_07</vt:lpstr>
      <vt:lpstr>FPGA_SquibEmulation!Resistor02Enabled_08</vt:lpstr>
      <vt:lpstr>FPGA_SquibEmulation!Resistor03Enabled_01</vt:lpstr>
      <vt:lpstr>FPGA_SquibEmulation!Resistor03Enabled_02</vt:lpstr>
      <vt:lpstr>FPGA_SquibEmulation!Resistor03Enabled_03</vt:lpstr>
      <vt:lpstr>FPGA_SquibEmulation!Resistor03Enabled_04</vt:lpstr>
      <vt:lpstr>FPGA_SquibEmulation!Resistor03Enabled_05</vt:lpstr>
      <vt:lpstr>FPGA_SquibEmulation!Resistor03Enabled_06</vt:lpstr>
      <vt:lpstr>FPGA_SquibEmulation!Resistor03Enabled_07</vt:lpstr>
      <vt:lpstr>FPGA_SquibEmulation!Resistor03Enabled_08</vt:lpstr>
      <vt:lpstr>FPGA_SquibEmulation!Resistor04Enabled_01</vt:lpstr>
      <vt:lpstr>FPGA_SquibEmulation!Resistor04Enabled_02</vt:lpstr>
      <vt:lpstr>FPGA_SquibEmulation!Resistor04Enabled_03</vt:lpstr>
      <vt:lpstr>FPGA_SquibEmulation!Resistor04Enabled_04</vt:lpstr>
      <vt:lpstr>FPGA_SquibEmulation!Resistor04Enabled_05</vt:lpstr>
      <vt:lpstr>FPGA_SquibEmulation!Resistor04Enabled_06</vt:lpstr>
      <vt:lpstr>FPGA_SquibEmulation!Resistor04Enabled_07</vt:lpstr>
      <vt:lpstr>FPGA_SquibEmulation!Resistor04Enabled_08</vt:lpstr>
      <vt:lpstr>FPGA_SquibEmulation!Resistor05Enabled_01</vt:lpstr>
      <vt:lpstr>FPGA_SquibEmulation!Resistor05Enabled_02</vt:lpstr>
      <vt:lpstr>FPGA_SquibEmulation!Resistor05Enabled_03</vt:lpstr>
      <vt:lpstr>FPGA_SquibEmulation!Resistor05Enabled_04</vt:lpstr>
      <vt:lpstr>FPGA_SquibEmulation!Resistor05Enabled_05</vt:lpstr>
      <vt:lpstr>FPGA_SquibEmulation!Resistor05Enabled_06</vt:lpstr>
      <vt:lpstr>FPGA_SquibEmulation!Resistor05Enabled_07</vt:lpstr>
      <vt:lpstr>FPGA_SquibEmulation!Resistor05Enabled_08</vt:lpstr>
      <vt:lpstr>FPGA_SquibEmulation!Resistor06Enabled_01</vt:lpstr>
      <vt:lpstr>FPGA_SquibEmulation!Resistor06Enabled_02</vt:lpstr>
      <vt:lpstr>FPGA_SquibEmulation!Resistor06Enabled_03</vt:lpstr>
      <vt:lpstr>FPGA_SquibEmulation!Resistor06Enabled_04</vt:lpstr>
      <vt:lpstr>FPGA_SquibEmulation!Resistor06Enabled_05</vt:lpstr>
      <vt:lpstr>FPGA_SquibEmulation!Resistor06Enabled_06</vt:lpstr>
      <vt:lpstr>FPGA_SquibEmulation!Resistor06Enabled_07</vt:lpstr>
      <vt:lpstr>FPGA_SquibEmulation!Resistor06Enabled_08</vt:lpstr>
      <vt:lpstr>FPGA_SquibEmulation!Resistor07Enabled_01</vt:lpstr>
      <vt:lpstr>FPGA_SquibEmulation!Resistor07Enabled_02</vt:lpstr>
      <vt:lpstr>FPGA_SquibEmulation!Resistor07Enabled_03</vt:lpstr>
      <vt:lpstr>FPGA_SquibEmulation!Resistor07Enabled_04</vt:lpstr>
      <vt:lpstr>FPGA_SquibEmulation!Resistor07Enabled_05</vt:lpstr>
      <vt:lpstr>FPGA_SquibEmulation!Resistor07Enabled_06</vt:lpstr>
      <vt:lpstr>FPGA_SquibEmulation!Resistor07Enabled_07</vt:lpstr>
      <vt:lpstr>FPGA_SquibEmulation!Resistor07Enabled_08</vt:lpstr>
      <vt:lpstr>FPGA_SquibEmulation!ResistorValues</vt:lpstr>
      <vt:lpstr>DMM!Resolution_01</vt:lpstr>
      <vt:lpstr>DMM!Resoultion_01</vt:lpstr>
      <vt:lpstr>ARB!Sample_Rate_01</vt:lpstr>
      <vt:lpstr>Digitizer!SampleClockEdge_01</vt:lpstr>
      <vt:lpstr>Digitizer!SampleClockEdge_02</vt:lpstr>
      <vt:lpstr>Digitizer!SampleClockEdge_03</vt:lpstr>
      <vt:lpstr>Digitizer!SampleClockEdge_04</vt:lpstr>
      <vt:lpstr>Digitizer!SampleClockEdge_05</vt:lpstr>
      <vt:lpstr>Digitizer!SampleClockEdge_06</vt:lpstr>
      <vt:lpstr>Digitizer!SampleClockEdge_07</vt:lpstr>
      <vt:lpstr>Digitizer!SampleClockEdge_08</vt:lpstr>
      <vt:lpstr>Digitizer!SampleClockEdge_09</vt:lpstr>
      <vt:lpstr>Digitizer!SampleClockEdge_10</vt:lpstr>
      <vt:lpstr>Digitizer!SampleClockEdge_11</vt:lpstr>
      <vt:lpstr>Digitizer!SampleClockEdge_12</vt:lpstr>
      <vt:lpstr>Digitizer!SampleClockEdge_13</vt:lpstr>
      <vt:lpstr>Digitizer!SampleClockEdge_14</vt:lpstr>
      <vt:lpstr>Digitizer!SampleClockEdge_15</vt:lpstr>
      <vt:lpstr>Digitizer!SampleDuration_01</vt:lpstr>
      <vt:lpstr>Digitizer!SampleDuration_02</vt:lpstr>
      <vt:lpstr>Digitizer!SampleDuration_03</vt:lpstr>
      <vt:lpstr>Digitizer!SampleDuration_04</vt:lpstr>
      <vt:lpstr>Digitizer!SampleDuration_05</vt:lpstr>
      <vt:lpstr>Digitizer!SampleDuration_06</vt:lpstr>
      <vt:lpstr>Digitizer!SampleDuration_07</vt:lpstr>
      <vt:lpstr>Digitizer!SampleDuration_08</vt:lpstr>
      <vt:lpstr>Digitizer!SampleDuration_09</vt:lpstr>
      <vt:lpstr>Digitizer!SampleDuration_10</vt:lpstr>
      <vt:lpstr>Digitizer!SampleDuration_11</vt:lpstr>
      <vt:lpstr>Digitizer!SampleDuration_12</vt:lpstr>
      <vt:lpstr>Digitizer!SampleDuration_13</vt:lpstr>
      <vt:lpstr>Digitizer!SampleDuration_14</vt:lpstr>
      <vt:lpstr>Digitizer!SampleDuration_15</vt:lpstr>
      <vt:lpstr>Digitizer!SampleMode_01</vt:lpstr>
      <vt:lpstr>Digitizer!SampleMode_02</vt:lpstr>
      <vt:lpstr>Digitizer!SampleMode_03</vt:lpstr>
      <vt:lpstr>Digitizer!SampleMode_04</vt:lpstr>
      <vt:lpstr>Digitizer!SampleMode_05</vt:lpstr>
      <vt:lpstr>Digitizer!SampleMode_06</vt:lpstr>
      <vt:lpstr>Digitizer!SampleMode_07</vt:lpstr>
      <vt:lpstr>Digitizer!SampleMode_08</vt:lpstr>
      <vt:lpstr>Digitizer!SampleMode_09</vt:lpstr>
      <vt:lpstr>Digitizer!SampleMode_10</vt:lpstr>
      <vt:lpstr>Digitizer!SampleMode_11</vt:lpstr>
      <vt:lpstr>Digitizer!SampleMode_12</vt:lpstr>
      <vt:lpstr>Digitizer!SampleMode_13</vt:lpstr>
      <vt:lpstr>Digitizer!SampleMode_14</vt:lpstr>
      <vt:lpstr>Digitizer!SampleMode_15</vt:lpstr>
      <vt:lpstr>Digitizer!SampleRate_01</vt:lpstr>
      <vt:lpstr>Scope!SampleRate_01</vt:lpstr>
      <vt:lpstr>Digitizer!SampleRate_02</vt:lpstr>
      <vt:lpstr>Scope!SampleRate_02</vt:lpstr>
      <vt:lpstr>Digitizer!SampleRate_03</vt:lpstr>
      <vt:lpstr>Scope!SampleRate_03</vt:lpstr>
      <vt:lpstr>Digitizer!SampleRate_04</vt:lpstr>
      <vt:lpstr>Scope!SampleRate_04</vt:lpstr>
      <vt:lpstr>Digitizer!SampleRate_05</vt:lpstr>
      <vt:lpstr>Scope!SampleRate_05</vt:lpstr>
      <vt:lpstr>Digitizer!SampleRate_06</vt:lpstr>
      <vt:lpstr>Scope!SampleRate_06</vt:lpstr>
      <vt:lpstr>Digitizer!SampleRate_07</vt:lpstr>
      <vt:lpstr>Scope!SampleRate_07</vt:lpstr>
      <vt:lpstr>Digitizer!SampleRate_08</vt:lpstr>
      <vt:lpstr>Digitizer!SampleRate_09</vt:lpstr>
      <vt:lpstr>Digitizer!SampleRate_10</vt:lpstr>
      <vt:lpstr>Digitizer!SampleRate_11</vt:lpstr>
      <vt:lpstr>Digitizer!SampleRate_12</vt:lpstr>
      <vt:lpstr>Digitizer!SampleRate_13</vt:lpstr>
      <vt:lpstr>Digitizer!SampleRate_14</vt:lpstr>
      <vt:lpstr>Digitizer!SampleRate_15</vt:lpstr>
      <vt:lpstr>ARB!Samples_01</vt:lpstr>
      <vt:lpstr>ARB!Script_Trigger_01</vt:lpstr>
      <vt:lpstr>ARB!SerialNumber_01</vt:lpstr>
      <vt:lpstr>'DC Power Supply'!SerialNumber_01</vt:lpstr>
      <vt:lpstr>Digitizer!SerialNumber_01</vt:lpstr>
      <vt:lpstr>DMM!SerialNumber_01</vt:lpstr>
      <vt:lpstr>Example!SerialNumber_01</vt:lpstr>
      <vt:lpstr>'Foundation Bus'!SerialNumber_01</vt:lpstr>
      <vt:lpstr>FPGA!SerialNumber_01</vt:lpstr>
      <vt:lpstr>Scope!SerialNumber_01</vt:lpstr>
      <vt:lpstr>SpaceWire!SerialNumber_01</vt:lpstr>
      <vt:lpstr>Switch!SerialNumber_01</vt:lpstr>
      <vt:lpstr>Synchronization!SerialNumber_01</vt:lpstr>
      <vt:lpstr>ARB!SerialNumber_02</vt:lpstr>
      <vt:lpstr>'DC Power Supply'!SerialNumber_02</vt:lpstr>
      <vt:lpstr>Digitizer!SerialNumber_02</vt:lpstr>
      <vt:lpstr>FPGA!SerialNumber_02</vt:lpstr>
      <vt:lpstr>Scope!SerialNumber_02</vt:lpstr>
      <vt:lpstr>SpaceWire!SerialNumber_02</vt:lpstr>
      <vt:lpstr>Switch!SerialNumber_02</vt:lpstr>
      <vt:lpstr>Synchronization!SerialNumber_02</vt:lpstr>
      <vt:lpstr>ARB!SerialNumber_03</vt:lpstr>
      <vt:lpstr>'DC Power Supply'!SerialNumber_03</vt:lpstr>
      <vt:lpstr>Digitizer!SerialNumber_03</vt:lpstr>
      <vt:lpstr>FPGA!SerialNumber_03</vt:lpstr>
      <vt:lpstr>Scope!SerialNumber_03</vt:lpstr>
      <vt:lpstr>'DC Power Supply'!SerialNumber_04</vt:lpstr>
      <vt:lpstr>Digitizer!SerialNumber_04</vt:lpstr>
      <vt:lpstr>Scope!SerialNumber_04</vt:lpstr>
      <vt:lpstr>'DC Power Supply'!SerialNumber_05</vt:lpstr>
      <vt:lpstr>Digitizer!SerialNumber_05</vt:lpstr>
      <vt:lpstr>Scope!SerialNumber_05</vt:lpstr>
      <vt:lpstr>'DC Power Supply'!SerialNumber_06</vt:lpstr>
      <vt:lpstr>Digitizer!SerialNumber_06</vt:lpstr>
      <vt:lpstr>Scope!SerialNumber_06</vt:lpstr>
      <vt:lpstr>'DC Power Supply'!SerialNumber_07</vt:lpstr>
      <vt:lpstr>Digitizer!SerialNumber_07</vt:lpstr>
      <vt:lpstr>Scope!SerialNumber_07</vt:lpstr>
      <vt:lpstr>'DC Power Supply'!SerialNumber_08</vt:lpstr>
      <vt:lpstr>Digitizer!SerialNumber_08</vt:lpstr>
      <vt:lpstr>'DC Power Supply'!SerialNumber_09</vt:lpstr>
      <vt:lpstr>Digitizer!SerialNumber_09</vt:lpstr>
      <vt:lpstr>Digitizer!SerialNumber_10</vt:lpstr>
      <vt:lpstr>Digitizer!SerialNumber_11</vt:lpstr>
      <vt:lpstr>Digitizer!SerialNumber_12</vt:lpstr>
      <vt:lpstr>Digitizer!SerialNumber_13</vt:lpstr>
      <vt:lpstr>Digitizer!SerialNumber_14</vt:lpstr>
      <vt:lpstr>Digitizer!SerialNumber_15</vt:lpstr>
      <vt:lpstr>'FBUS Message(s)'!SourceMod_01</vt:lpstr>
      <vt:lpstr>'FBUS Message(s)'!SourceMod_02</vt:lpstr>
      <vt:lpstr>FPGA_SquibEmulation!Squib2Resistor00Enabled_01</vt:lpstr>
      <vt:lpstr>FPGA_SquibEmulation!Squib2Resistor00Enabled_02</vt:lpstr>
      <vt:lpstr>FPGA_SquibEmulation!Squib2Resistor00Enabled_03</vt:lpstr>
      <vt:lpstr>FPGA_SquibEmulation!Squib2Resistor00Enabled_04</vt:lpstr>
      <vt:lpstr>FPGA_SquibEmulation!Squib2Resistor00Enabled_05</vt:lpstr>
      <vt:lpstr>FPGA_SquibEmulation!Squib2Resistor00Enabled_06</vt:lpstr>
      <vt:lpstr>FPGA_SquibEmulation!Squib2Resistor00Enabled_07</vt:lpstr>
      <vt:lpstr>FPGA_SquibEmulation!Squib2Resistor00Enabled_08</vt:lpstr>
      <vt:lpstr>FPGA_SquibEmulation!Squib2Resistor01Enabled_01</vt:lpstr>
      <vt:lpstr>FPGA_SquibEmulation!Squib2Resistor01Enabled_02</vt:lpstr>
      <vt:lpstr>FPGA_SquibEmulation!Squib2Resistor01Enabled_03</vt:lpstr>
      <vt:lpstr>FPGA_SquibEmulation!Squib2Resistor01Enabled_04</vt:lpstr>
      <vt:lpstr>FPGA_SquibEmulation!Squib2Resistor01Enabled_05</vt:lpstr>
      <vt:lpstr>FPGA_SquibEmulation!Squib2Resistor01Enabled_06</vt:lpstr>
      <vt:lpstr>FPGA_SquibEmulation!Squib2Resistor01Enabled_07</vt:lpstr>
      <vt:lpstr>FPGA_SquibEmulation!Squib2Resistor01Enabled_08</vt:lpstr>
      <vt:lpstr>FPGA_SquibEmulation!Squib2Resistor02Enabled_01</vt:lpstr>
      <vt:lpstr>FPGA_SquibEmulation!Squib2Resistor02Enabled_02</vt:lpstr>
      <vt:lpstr>FPGA_SquibEmulation!Squib2Resistor02Enabled_03</vt:lpstr>
      <vt:lpstr>FPGA_SquibEmulation!Squib2Resistor02Enabled_04</vt:lpstr>
      <vt:lpstr>FPGA_SquibEmulation!Squib2Resistor02Enabled_05</vt:lpstr>
      <vt:lpstr>FPGA_SquibEmulation!Squib2Resistor02Enabled_06</vt:lpstr>
      <vt:lpstr>FPGA_SquibEmulation!Squib2Resistor02Enabled_07</vt:lpstr>
      <vt:lpstr>FPGA_SquibEmulation!Squib2Resistor02Enabled_08</vt:lpstr>
      <vt:lpstr>FPGA_SquibEmulation!Squib2Resistor03Enabled_01</vt:lpstr>
      <vt:lpstr>FPGA_SquibEmulation!Squib2Resistor03Enabled_02</vt:lpstr>
      <vt:lpstr>FPGA_SquibEmulation!Squib2Resistor03Enabled_03</vt:lpstr>
      <vt:lpstr>FPGA_SquibEmulation!Squib2Resistor03Enabled_04</vt:lpstr>
      <vt:lpstr>FPGA_SquibEmulation!Squib2Resistor03Enabled_05</vt:lpstr>
      <vt:lpstr>FPGA_SquibEmulation!Squib2Resistor03Enabled_06</vt:lpstr>
      <vt:lpstr>FPGA_SquibEmulation!Squib2Resistor03Enabled_07</vt:lpstr>
      <vt:lpstr>FPGA_SquibEmulation!Squib2Resistor03Enabled_08</vt:lpstr>
      <vt:lpstr>FPGA_SquibEmulation!Squib2Resistor04Enabled_01</vt:lpstr>
      <vt:lpstr>FPGA_SquibEmulation!Squib2Resistor04Enabled_02</vt:lpstr>
      <vt:lpstr>FPGA_SquibEmulation!Squib2Resistor04Enabled_03</vt:lpstr>
      <vt:lpstr>FPGA_SquibEmulation!Squib2Resistor04Enabled_04</vt:lpstr>
      <vt:lpstr>FPGA_SquibEmulation!Squib2Resistor04Enabled_05</vt:lpstr>
      <vt:lpstr>FPGA_SquibEmulation!Squib2Resistor04Enabled_06</vt:lpstr>
      <vt:lpstr>FPGA_SquibEmulation!Squib2Resistor04Enabled_07</vt:lpstr>
      <vt:lpstr>FPGA_SquibEmulation!Squib2Resistor04Enabled_08</vt:lpstr>
      <vt:lpstr>FPGA_SquibEmulation!Squib2Resistor05Enabled_01</vt:lpstr>
      <vt:lpstr>FPGA_SquibEmulation!Squib2Resistor05Enabled_02</vt:lpstr>
      <vt:lpstr>FPGA_SquibEmulation!Squib2Resistor05Enabled_03</vt:lpstr>
      <vt:lpstr>FPGA_SquibEmulation!Squib2Resistor05Enabled_04</vt:lpstr>
      <vt:lpstr>FPGA_SquibEmulation!Squib2Resistor05Enabled_05</vt:lpstr>
      <vt:lpstr>FPGA_SquibEmulation!Squib2Resistor05Enabled_06</vt:lpstr>
      <vt:lpstr>FPGA_SquibEmulation!Squib2Resistor05Enabled_07</vt:lpstr>
      <vt:lpstr>FPGA_SquibEmulation!Squib2Resistor05Enabled_08</vt:lpstr>
      <vt:lpstr>FPGA_SquibEmulation!Squib2Resistor06Enabled_01</vt:lpstr>
      <vt:lpstr>FPGA_SquibEmulation!Squib2Resistor06Enabled_02</vt:lpstr>
      <vt:lpstr>FPGA_SquibEmulation!Squib2Resistor06Enabled_03</vt:lpstr>
      <vt:lpstr>FPGA_SquibEmulation!Squib2Resistor06Enabled_04</vt:lpstr>
      <vt:lpstr>FPGA_SquibEmulation!Squib2Resistor06Enabled_05</vt:lpstr>
      <vt:lpstr>FPGA_SquibEmulation!Squib2Resistor06Enabled_06</vt:lpstr>
      <vt:lpstr>FPGA_SquibEmulation!Squib2Resistor06Enabled_07</vt:lpstr>
      <vt:lpstr>FPGA_SquibEmulation!Squib2Resistor06Enabled_08</vt:lpstr>
      <vt:lpstr>FPGA_SquibEmulation!Squib2Resistor07Enabled_01</vt:lpstr>
      <vt:lpstr>FPGA_SquibEmulation!Squib2Resistor07Enabled_02</vt:lpstr>
      <vt:lpstr>FPGA_SquibEmulation!Squib2Resistor07Enabled_03</vt:lpstr>
      <vt:lpstr>FPGA_SquibEmulation!Squib2Resistor07Enabled_04</vt:lpstr>
      <vt:lpstr>FPGA_SquibEmulation!Squib2Resistor07Enabled_05</vt:lpstr>
      <vt:lpstr>FPGA_SquibEmulation!Squib2Resistor07Enabled_06</vt:lpstr>
      <vt:lpstr>FPGA_SquibEmulation!Squib2Resistor07Enabled_07</vt:lpstr>
      <vt:lpstr>FPGA_SquibEmulation!Squib2Resistor07Enabled_08</vt:lpstr>
      <vt:lpstr>FPGA_SquibEmulation!SquibResistor00Enabled_01</vt:lpstr>
      <vt:lpstr>FPGA_SquibEmulation!SquibResistor00Enabled_02</vt:lpstr>
      <vt:lpstr>FPGA_SquibEmulation!SquibResistor00Enabled_03</vt:lpstr>
      <vt:lpstr>FPGA_SquibEmulation!SquibResistor00Enabled_04</vt:lpstr>
      <vt:lpstr>FPGA_SquibEmulation!SquibResistor00Enabled_05</vt:lpstr>
      <vt:lpstr>FPGA_SquibEmulation!SquibResistor00Enabled_06</vt:lpstr>
      <vt:lpstr>FPGA_SquibEmulation!SquibResistor00Enabled_07</vt:lpstr>
      <vt:lpstr>FPGA_SquibEmulation!SquibResistor00Enabled_08</vt:lpstr>
      <vt:lpstr>FPGA_SquibEmulation!SquibResistor01Enabled_01</vt:lpstr>
      <vt:lpstr>FPGA_SquibEmulation!SquibResistor01Enabled_02</vt:lpstr>
      <vt:lpstr>FPGA_SquibEmulation!SquibResistor01Enabled_03</vt:lpstr>
      <vt:lpstr>FPGA_SquibEmulation!SquibResistor01Enabled_04</vt:lpstr>
      <vt:lpstr>FPGA_SquibEmulation!SquibResistor01Enabled_05</vt:lpstr>
      <vt:lpstr>FPGA_SquibEmulation!SquibResistor01Enabled_06</vt:lpstr>
      <vt:lpstr>FPGA_SquibEmulation!SquibResistor01Enabled_07</vt:lpstr>
      <vt:lpstr>FPGA_SquibEmulation!SquibResistor01Enabled_08</vt:lpstr>
      <vt:lpstr>FPGA_SquibEmulation!SquibResistor02Enabled_01</vt:lpstr>
      <vt:lpstr>FPGA_SquibEmulation!SquibResistor02Enabled_02</vt:lpstr>
      <vt:lpstr>FPGA_SquibEmulation!SquibResistor02Enabled_03</vt:lpstr>
      <vt:lpstr>FPGA_SquibEmulation!SquibResistor02Enabled_04</vt:lpstr>
      <vt:lpstr>FPGA_SquibEmulation!SquibResistor02Enabled_05</vt:lpstr>
      <vt:lpstr>FPGA_SquibEmulation!SquibResistor02Enabled_06</vt:lpstr>
      <vt:lpstr>FPGA_SquibEmulation!SquibResistor02Enabled_07</vt:lpstr>
      <vt:lpstr>FPGA_SquibEmulation!SquibResistor02Enabled_08</vt:lpstr>
      <vt:lpstr>FPGA_SquibEmulation!SquibResistor03Enabled_01</vt:lpstr>
      <vt:lpstr>FPGA_SquibEmulation!SquibResistor03Enabled_02</vt:lpstr>
      <vt:lpstr>FPGA_SquibEmulation!SquibResistor03Enabled_03</vt:lpstr>
      <vt:lpstr>FPGA_SquibEmulation!SquibResistor03Enabled_04</vt:lpstr>
      <vt:lpstr>FPGA_SquibEmulation!SquibResistor03Enabled_05</vt:lpstr>
      <vt:lpstr>FPGA_SquibEmulation!SquibResistor03Enabled_06</vt:lpstr>
      <vt:lpstr>FPGA_SquibEmulation!SquibResistor03Enabled_07</vt:lpstr>
      <vt:lpstr>FPGA_SquibEmulation!SquibResistor03Enabled_08</vt:lpstr>
      <vt:lpstr>FPGA_SquibEmulation!SquibResistor04Enabled_01</vt:lpstr>
      <vt:lpstr>FPGA_SquibEmulation!SquibResistor04Enabled_02</vt:lpstr>
      <vt:lpstr>FPGA_SquibEmulation!SquibResistor04Enabled_03</vt:lpstr>
      <vt:lpstr>FPGA_SquibEmulation!SquibResistor04Enabled_04</vt:lpstr>
      <vt:lpstr>FPGA_SquibEmulation!SquibResistor04Enabled_05</vt:lpstr>
      <vt:lpstr>FPGA_SquibEmulation!SquibResistor04Enabled_06</vt:lpstr>
      <vt:lpstr>FPGA_SquibEmulation!SquibResistor04Enabled_07</vt:lpstr>
      <vt:lpstr>FPGA_SquibEmulation!SquibResistor04Enabled_08</vt:lpstr>
      <vt:lpstr>FPGA_SquibEmulation!SquibResistor05Enabled_01</vt:lpstr>
      <vt:lpstr>FPGA_SquibEmulation!SquibResistor05Enabled_02</vt:lpstr>
      <vt:lpstr>FPGA_SquibEmulation!SquibResistor05Enabled_03</vt:lpstr>
      <vt:lpstr>FPGA_SquibEmulation!SquibResistor05Enabled_04</vt:lpstr>
      <vt:lpstr>FPGA_SquibEmulation!SquibResistor05Enabled_05</vt:lpstr>
      <vt:lpstr>FPGA_SquibEmulation!SquibResistor05Enabled_06</vt:lpstr>
      <vt:lpstr>FPGA_SquibEmulation!SquibResistor05Enabled_07</vt:lpstr>
      <vt:lpstr>FPGA_SquibEmulation!SquibResistor05Enabled_08</vt:lpstr>
      <vt:lpstr>FPGA_SquibEmulation!SquibResistor06Enabled_01</vt:lpstr>
      <vt:lpstr>FPGA_SquibEmulation!SquibResistor06Enabled_02</vt:lpstr>
      <vt:lpstr>FPGA_SquibEmulation!SquibResistor06Enabled_03</vt:lpstr>
      <vt:lpstr>FPGA_SquibEmulation!SquibResistor06Enabled_04</vt:lpstr>
      <vt:lpstr>FPGA_SquibEmulation!SquibResistor06Enabled_05</vt:lpstr>
      <vt:lpstr>FPGA_SquibEmulation!SquibResistor06Enabled_06</vt:lpstr>
      <vt:lpstr>FPGA_SquibEmulation!SquibResistor06Enabled_07</vt:lpstr>
      <vt:lpstr>FPGA_SquibEmulation!SquibResistor06Enabled_08</vt:lpstr>
      <vt:lpstr>FPGA_SquibEmulation!SquibResistor07Enabled_01</vt:lpstr>
      <vt:lpstr>FPGA_SquibEmulation!SquibResistor07Enabled_02</vt:lpstr>
      <vt:lpstr>FPGA_SquibEmulation!SquibResistor07Enabled_03</vt:lpstr>
      <vt:lpstr>FPGA_SquibEmulation!SquibResistor07Enabled_04</vt:lpstr>
      <vt:lpstr>FPGA_SquibEmulation!SquibResistor07Enabled_05</vt:lpstr>
      <vt:lpstr>FPGA_SquibEmulation!SquibResistor07Enabled_06</vt:lpstr>
      <vt:lpstr>FPGA_SquibEmulation!SquibResistor07Enabled_07</vt:lpstr>
      <vt:lpstr>FPGA_SquibEmulation!SquibResistor07Enabled_08</vt:lpstr>
      <vt:lpstr>ARB!SW_Alias</vt:lpstr>
      <vt:lpstr>DMM!SwitchAlias_01</vt:lpstr>
      <vt:lpstr>Synchronization!SyncDivide1_01</vt:lpstr>
      <vt:lpstr>Synchronization!SyncDivide1_02</vt:lpstr>
      <vt:lpstr>Synchronization!SyncDivide2_01</vt:lpstr>
      <vt:lpstr>Synchronization!SyncDivide2_02</vt:lpstr>
      <vt:lpstr>Synchronization!SynchronizationClock_01</vt:lpstr>
      <vt:lpstr>Synchronization!SynchronizationClock_02</vt:lpstr>
      <vt:lpstr>'PXIe-7867R_01_Timing'!Timed_Event_Override_01</vt:lpstr>
      <vt:lpstr>'PXIe-7867R_01_Timing'!Timed_Event_Pins_01</vt:lpstr>
      <vt:lpstr>'PXIe-7867R_01_Timing'!Timed_Event_States_01</vt:lpstr>
      <vt:lpstr>'PXIe-7867R_01_Timing'!Timed_Event_Time_01</vt:lpstr>
      <vt:lpstr>'PXIe-7867R_01_Timing'!Timed_Special_Event_01</vt:lpstr>
      <vt:lpstr>'Foundation Bus'!TimestampRes_01</vt:lpstr>
      <vt:lpstr>'FBUS Message(s)'!TimeToSend_01</vt:lpstr>
      <vt:lpstr>'FBUS Message(s)'!TimeToSend_02</vt:lpstr>
      <vt:lpstr>DMM!Topology_01</vt:lpstr>
      <vt:lpstr>Switch!Topology_01</vt:lpstr>
      <vt:lpstr>Switch!Topology_02</vt:lpstr>
      <vt:lpstr>Digitizer!TrigDest_01</vt:lpstr>
      <vt:lpstr>Scope!TrigDest_01</vt:lpstr>
      <vt:lpstr>Digitizer!TrigDest_02</vt:lpstr>
      <vt:lpstr>Scope!TrigDest_02</vt:lpstr>
      <vt:lpstr>Digitizer!TrigDest_03</vt:lpstr>
      <vt:lpstr>Scope!TrigDest_03</vt:lpstr>
      <vt:lpstr>Digitizer!TrigDest_04</vt:lpstr>
      <vt:lpstr>Scope!TrigDest_04</vt:lpstr>
      <vt:lpstr>Digitizer!TrigDest_05</vt:lpstr>
      <vt:lpstr>Scope!TrigDest_05</vt:lpstr>
      <vt:lpstr>Digitizer!TrigDest_06</vt:lpstr>
      <vt:lpstr>Scope!TrigDest_06</vt:lpstr>
      <vt:lpstr>Digitizer!TrigDest_07</vt:lpstr>
      <vt:lpstr>Scope!TrigDest_07</vt:lpstr>
      <vt:lpstr>Digitizer!TrigDest_08</vt:lpstr>
      <vt:lpstr>Digitizer!TrigDest_09</vt:lpstr>
      <vt:lpstr>Digitizer!TrigDest_10</vt:lpstr>
      <vt:lpstr>Digitizer!TrigDest_11</vt:lpstr>
      <vt:lpstr>Digitizer!TrigDest_12</vt:lpstr>
      <vt:lpstr>Digitizer!TrigDest_13</vt:lpstr>
      <vt:lpstr>Digitizer!TrigDest_14</vt:lpstr>
      <vt:lpstr>Digitizer!TrigDest_15</vt:lpstr>
      <vt:lpstr>Scope!TriggerCoupling_01</vt:lpstr>
      <vt:lpstr>Scope!TriggerCoupling_02</vt:lpstr>
      <vt:lpstr>Scope!TriggerCoupling_03</vt:lpstr>
      <vt:lpstr>Scope!TriggerCoupling_04</vt:lpstr>
      <vt:lpstr>Scope!TriggerCoupling_05</vt:lpstr>
      <vt:lpstr>Scope!TriggerCoupling_06</vt:lpstr>
      <vt:lpstr>Scope!TriggerCoupling_07</vt:lpstr>
      <vt:lpstr>Scope!TriggerLevel1_01</vt:lpstr>
      <vt:lpstr>Scope!TriggerLevel1_02</vt:lpstr>
      <vt:lpstr>Scope!TriggerLevel1_03</vt:lpstr>
      <vt:lpstr>Scope!TriggerLevel1_04</vt:lpstr>
      <vt:lpstr>Scope!TriggerLevel1_05</vt:lpstr>
      <vt:lpstr>Scope!TriggerLevel1_06</vt:lpstr>
      <vt:lpstr>Scope!TriggerLevel1_07</vt:lpstr>
      <vt:lpstr>Scope!TriggerLevel2_01</vt:lpstr>
      <vt:lpstr>Scope!TriggerLevel2_02</vt:lpstr>
      <vt:lpstr>Scope!TriggerLevel2_03</vt:lpstr>
      <vt:lpstr>Scope!TriggerLevel2_04</vt:lpstr>
      <vt:lpstr>Scope!TriggerLevel2_05</vt:lpstr>
      <vt:lpstr>Scope!TriggerLevel2_06</vt:lpstr>
      <vt:lpstr>Scope!TriggerLevel2_07</vt:lpstr>
      <vt:lpstr>'Foundation Bus'!TriggerSource_01</vt:lpstr>
      <vt:lpstr>Scope!TriggerSource_01</vt:lpstr>
      <vt:lpstr>Scope!TriggerSource_02</vt:lpstr>
      <vt:lpstr>Scope!TriggerSource_03</vt:lpstr>
      <vt:lpstr>Scope!TriggerSource_04</vt:lpstr>
      <vt:lpstr>Scope!TriggerSource_05</vt:lpstr>
      <vt:lpstr>Scope!TriggerSource_06</vt:lpstr>
      <vt:lpstr>Scope!TriggerSource_07</vt:lpstr>
      <vt:lpstr>Scope!TriggerType_01</vt:lpstr>
      <vt:lpstr>Scope!TriggerType_02</vt:lpstr>
      <vt:lpstr>Scope!TriggerType_03</vt:lpstr>
      <vt:lpstr>Scope!TriggerType_04</vt:lpstr>
      <vt:lpstr>Scope!TriggerType_05</vt:lpstr>
      <vt:lpstr>Scope!TriggerType_06</vt:lpstr>
      <vt:lpstr>Scope!TriggerType_07</vt:lpstr>
      <vt:lpstr>FPGA!TriggerWindowHigh_01</vt:lpstr>
      <vt:lpstr>FPGA!TriggerWindowHigh_03</vt:lpstr>
      <vt:lpstr>FPGA!TriggerWindowLow_01</vt:lpstr>
      <vt:lpstr>FPGA!TriggerWindowLow_03</vt:lpstr>
      <vt:lpstr>Scope!TrigGroup_01</vt:lpstr>
      <vt:lpstr>Scope!TrigGroup_02</vt:lpstr>
      <vt:lpstr>Scope!TrigGroup_03</vt:lpstr>
      <vt:lpstr>Scope!TrigGroup_04</vt:lpstr>
      <vt:lpstr>Scope!TrigGroup_05</vt:lpstr>
      <vt:lpstr>Scope!TrigGroup_06</vt:lpstr>
      <vt:lpstr>Scope!TrigGroup_07</vt:lpstr>
      <vt:lpstr>Digitizer!TrigLevel_01</vt:lpstr>
      <vt:lpstr>Digitizer!TrigLevel_02</vt:lpstr>
      <vt:lpstr>Digitizer!TrigLevel_03</vt:lpstr>
      <vt:lpstr>Digitizer!TrigLevel_04</vt:lpstr>
      <vt:lpstr>Digitizer!TrigLevel_05</vt:lpstr>
      <vt:lpstr>Digitizer!TrigLevel_06</vt:lpstr>
      <vt:lpstr>Digitizer!TrigLevel_07</vt:lpstr>
      <vt:lpstr>Digitizer!TrigLevel_08</vt:lpstr>
      <vt:lpstr>Digitizer!TrigLevel_09</vt:lpstr>
      <vt:lpstr>Digitizer!TrigLevel_10</vt:lpstr>
      <vt:lpstr>Digitizer!TrigLevel_11</vt:lpstr>
      <vt:lpstr>Digitizer!TrigLevel_12</vt:lpstr>
      <vt:lpstr>Digitizer!TrigLevel_13</vt:lpstr>
      <vt:lpstr>Digitizer!TrigLevel_14</vt:lpstr>
      <vt:lpstr>Digitizer!TrigLevel_15</vt:lpstr>
      <vt:lpstr>Digitizer!TrigSlope_01</vt:lpstr>
      <vt:lpstr>Digitizer!TrigSlope_02</vt:lpstr>
      <vt:lpstr>Digitizer!TrigSlope_03</vt:lpstr>
      <vt:lpstr>Digitizer!TrigSlope_04</vt:lpstr>
      <vt:lpstr>Digitizer!TrigSlope_05</vt:lpstr>
      <vt:lpstr>Digitizer!TrigSlope_06</vt:lpstr>
      <vt:lpstr>Digitizer!TrigSlope_07</vt:lpstr>
      <vt:lpstr>Digitizer!TrigSlope_08</vt:lpstr>
      <vt:lpstr>Digitizer!TrigSlope_09</vt:lpstr>
      <vt:lpstr>Digitizer!TrigSlope_10</vt:lpstr>
      <vt:lpstr>Digitizer!TrigSlope_11</vt:lpstr>
      <vt:lpstr>Digitizer!TrigSlope_12</vt:lpstr>
      <vt:lpstr>Digitizer!TrigSlope_13</vt:lpstr>
      <vt:lpstr>Digitizer!TrigSlope_14</vt:lpstr>
      <vt:lpstr>Digitizer!TrigSlope_15</vt:lpstr>
      <vt:lpstr>Digitizer!TrigSource_01</vt:lpstr>
      <vt:lpstr>Digitizer!TrigSource_02</vt:lpstr>
      <vt:lpstr>Digitizer!TrigSource_03</vt:lpstr>
      <vt:lpstr>Digitizer!TrigSource_04</vt:lpstr>
      <vt:lpstr>Digitizer!TrigSource_05</vt:lpstr>
      <vt:lpstr>Digitizer!TrigSource_06</vt:lpstr>
      <vt:lpstr>Digitizer!TrigSource_07</vt:lpstr>
      <vt:lpstr>Digitizer!TrigSource_08</vt:lpstr>
      <vt:lpstr>Digitizer!TrigSource_09</vt:lpstr>
      <vt:lpstr>Digitizer!TrigSource_10</vt:lpstr>
      <vt:lpstr>Digitizer!TrigSource_11</vt:lpstr>
      <vt:lpstr>Digitizer!TrigSource_12</vt:lpstr>
      <vt:lpstr>Digitizer!TrigSource_13</vt:lpstr>
      <vt:lpstr>Digitizer!TrigSource_14</vt:lpstr>
      <vt:lpstr>Digitizer!TrigSource_15</vt:lpstr>
      <vt:lpstr>Digitizer!TrigType_01</vt:lpstr>
      <vt:lpstr>Digitizer!TrigType_02</vt:lpstr>
      <vt:lpstr>Digitizer!TrigType_03</vt:lpstr>
      <vt:lpstr>Digitizer!TrigType_04</vt:lpstr>
      <vt:lpstr>Digitizer!TrigType_05</vt:lpstr>
      <vt:lpstr>Digitizer!TrigType_06</vt:lpstr>
      <vt:lpstr>Digitizer!TrigType_07</vt:lpstr>
      <vt:lpstr>Digitizer!TrigType_08</vt:lpstr>
      <vt:lpstr>Digitizer!TrigType_09</vt:lpstr>
      <vt:lpstr>Digitizer!TrigType_10</vt:lpstr>
      <vt:lpstr>Digitizer!TrigType_11</vt:lpstr>
      <vt:lpstr>Digitizer!TrigType_12</vt:lpstr>
      <vt:lpstr>Digitizer!TrigType_13</vt:lpstr>
      <vt:lpstr>Digitizer!TrigType_14</vt:lpstr>
      <vt:lpstr>Digitizer!TrigType_15</vt:lpstr>
      <vt:lpstr>ARB!Type_01</vt:lpstr>
      <vt:lpstr>'DC Power Supply'!Type_01</vt:lpstr>
      <vt:lpstr>Digitizer!Type_01</vt:lpstr>
      <vt:lpstr>DMM!Type_01</vt:lpstr>
      <vt:lpstr>Example!Type_01</vt:lpstr>
      <vt:lpstr>'Foundation Bus'!Type_01</vt:lpstr>
      <vt:lpstr>FPGA!Type_01</vt:lpstr>
      <vt:lpstr>Scope!Type_01</vt:lpstr>
      <vt:lpstr>SpaceWire!Type_01</vt:lpstr>
      <vt:lpstr>Switch!Type_01</vt:lpstr>
      <vt:lpstr>Synchronization!Type_01</vt:lpstr>
      <vt:lpstr>ARB!Type_02</vt:lpstr>
      <vt:lpstr>'DC Power Supply'!Type_02</vt:lpstr>
      <vt:lpstr>Digitizer!Type_02</vt:lpstr>
      <vt:lpstr>FPGA!Type_02</vt:lpstr>
      <vt:lpstr>Scope!Type_02</vt:lpstr>
      <vt:lpstr>SpaceWire!Type_02</vt:lpstr>
      <vt:lpstr>Switch!Type_02</vt:lpstr>
      <vt:lpstr>Synchronization!Type_02</vt:lpstr>
      <vt:lpstr>ARB!Type_03</vt:lpstr>
      <vt:lpstr>'DC Power Supply'!Type_03</vt:lpstr>
      <vt:lpstr>Digitizer!Type_03</vt:lpstr>
      <vt:lpstr>FPGA!Type_03</vt:lpstr>
      <vt:lpstr>Scope!Type_03</vt:lpstr>
      <vt:lpstr>'DC Power Supply'!Type_04</vt:lpstr>
      <vt:lpstr>Digitizer!Type_04</vt:lpstr>
      <vt:lpstr>Scope!Type_04</vt:lpstr>
      <vt:lpstr>'DC Power Supply'!Type_05</vt:lpstr>
      <vt:lpstr>Digitizer!Type_05</vt:lpstr>
      <vt:lpstr>Scope!Type_05</vt:lpstr>
      <vt:lpstr>'DC Power Supply'!Type_06</vt:lpstr>
      <vt:lpstr>Digitizer!Type_06</vt:lpstr>
      <vt:lpstr>Scope!Type_06</vt:lpstr>
      <vt:lpstr>'DC Power Supply'!Type_07</vt:lpstr>
      <vt:lpstr>Digitizer!Type_07</vt:lpstr>
      <vt:lpstr>Scope!Type_07</vt:lpstr>
      <vt:lpstr>'DC Power Supply'!Type_08</vt:lpstr>
      <vt:lpstr>Digitizer!Type_08</vt:lpstr>
      <vt:lpstr>'DC Power Supply'!Type_09</vt:lpstr>
      <vt:lpstr>Digitizer!Type_09</vt:lpstr>
      <vt:lpstr>Digitizer!Type_10</vt:lpstr>
      <vt:lpstr>Digitizer!Type_11</vt:lpstr>
      <vt:lpstr>Digitizer!Type_12</vt:lpstr>
      <vt:lpstr>Digitizer!Type_13</vt:lpstr>
      <vt:lpstr>Digitizer!Type_14</vt:lpstr>
      <vt:lpstr>Digitizer!Type_15</vt:lpstr>
      <vt:lpstr>FPGA!UART_BitOrder_01</vt:lpstr>
      <vt:lpstr>FPGA!UART_MessageLength_01</vt:lpstr>
      <vt:lpstr>FPGA!UART_SampleRate_01</vt:lpstr>
      <vt:lpstr>ARB!unknown</vt:lpstr>
      <vt:lpstr>Version!Version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Covell, Eric</dc:creator>
  <cp:lastModifiedBy>Sanchez, David M.</cp:lastModifiedBy>
  <dcterms:created xsi:type="dcterms:W3CDTF">2019-01-14T12:51:15Z</dcterms:created>
  <dcterms:modified xsi:type="dcterms:W3CDTF">2024-08-26T12:51:39Z</dcterms:modified>
</cp:coreProperties>
</file>